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ivi chantiers" sheetId="1" state="visible" r:id="rId3"/>
    <sheet name="CRF" sheetId="2" state="visible" r:id="rId4"/>
    <sheet name="Listes" sheetId="3" state="visible" r:id="rId5"/>
  </sheets>
  <definedNames>
    <definedName function="false" hidden="false" name="ListeConducteurs" vbProcedure="false">Listes!$C$1:$C$1</definedName>
    <definedName function="false" hidden="false" name="ListePriorites" vbProcedure="false">Listes!$B$1:$B$3</definedName>
    <definedName function="false" hidden="false" name="ListeStatuts" vbProcedure="false">Listes!$A$1:$A$5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B4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5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6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7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8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9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0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1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2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3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4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5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B16" authorId="0">
      <text>
        <r>
          <rPr>
            <sz val="10"/>
            <rFont val="Arial"/>
            <family val="2"/>
          </rPr>
          <t xml:space="preserve">Exemple de liaison avec l'onglet MODELE_CHANTIER. Duplique la ligne 4 et remplace le nom d'onglet dans les formules pour relier d'autres chantiers.</t>
        </r>
      </text>
    </comment>
    <comment ref="E3" authorId="0">
      <text>
        <r>
          <rPr>
            <sz val="10"/>
            <rFont val="Arial"/>
            <family val="2"/>
          </rPr>
          <t xml:space="preserve">Montant initial du marché HT, hors travaux supplémentaires.</t>
        </r>
      </text>
    </comment>
    <comment ref="F3" authorId="0">
      <text>
        <r>
          <rPr>
            <sz val="10"/>
            <rFont val="Arial"/>
            <family val="2"/>
          </rPr>
          <t xml:space="preserve">Cumulez ici les travaux supplémentaires / avenants validés.</t>
        </r>
      </text>
    </comment>
    <comment ref="H3" authorId="0">
      <text>
        <r>
          <rPr>
            <sz val="10"/>
            <rFont val="Arial"/>
            <family val="2"/>
          </rPr>
          <t xml:space="preserve">Montant cumulé des situations déjà facturées.</t>
        </r>
      </text>
    </comment>
    <comment ref="J3" authorId="0">
      <text>
        <r>
          <rPr>
            <sz val="10"/>
            <rFont val="Arial"/>
            <family val="2"/>
          </rPr>
          <t xml:space="preserve">Dépenses engagées ou constatées à date.</t>
        </r>
      </text>
    </comment>
    <comment ref="M3" authorId="0">
      <text>
        <r>
          <rPr>
            <sz val="10"/>
            <rFont val="Arial"/>
            <family val="2"/>
          </rPr>
          <t xml:space="preserve">Liste courte des actions à relancer ou à planifier.</t>
        </r>
      </text>
    </comment>
    <comment ref="N3" authorId="0">
      <text>
        <r>
          <rPr>
            <sz val="10"/>
            <rFont val="Arial"/>
            <family val="2"/>
          </rPr>
          <t xml:space="preserve">Date prévisionnelle de l'OPR.</t>
        </r>
      </text>
    </comment>
    <comment ref="O3" authorId="0">
      <text>
        <r>
          <rPr>
            <sz val="10"/>
            <rFont val="Arial"/>
            <family val="2"/>
          </rPr>
          <t xml:space="preserve">Date réelle de l'OPR une fois effectuée.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B16" authorId="0">
      <text>
        <r>
          <rPr>
            <sz val="10"/>
            <rFont val="Arial"/>
            <family val="2"/>
          </rPr>
          <t xml:space="preserve">Montant initial du marché HT.</t>
        </r>
      </text>
    </comment>
    <comment ref="C57" authorId="0">
      <text>
        <r>
          <rPr>
            <sz val="10"/>
            <rFont val="Arial"/>
            <family val="2"/>
          </rPr>
          <t xml:space="preserve">Texte court qui remontera dans la colonne 'Tâches à faire' du tableau de synthèse.</t>
        </r>
      </text>
    </comment>
    <comment ref="D16" authorId="0">
      <text>
        <r>
          <rPr>
            <sz val="10"/>
            <rFont val="Arial"/>
            <family val="2"/>
          </rPr>
          <t xml:space="preserve">Total des travaux supplémentaires / avenants HT.</t>
        </r>
      </text>
    </comment>
  </commentList>
</comments>
</file>

<file path=xl/sharedStrings.xml><?xml version="1.0" encoding="utf-8"?>
<sst xmlns="http://schemas.openxmlformats.org/spreadsheetml/2006/main" count="179" uniqueCount="127">
  <si>
    <t xml:space="preserve">Tableau de suivi de chantiers</t>
  </si>
  <si>
    <t xml:space="preserve">Mode d’emploi : renseigner les cellules en bleu. Les cellules calculées se mettent à jour automatiquement.</t>
  </si>
  <si>
    <t xml:space="preserve">Suivi OPR / clôture</t>
  </si>
  <si>
    <t xml:space="preserve">Réf.</t>
  </si>
  <si>
    <t xml:space="preserve">Nom du chantier</t>
  </si>
  <si>
    <t xml:space="preserve">Adresse</t>
  </si>
  <si>
    <t xml:space="preserve">Conducteur de travaux</t>
  </si>
  <si>
    <t xml:space="preserve">Montant base marché (€ HT)</t>
  </si>
  <si>
    <t xml:space="preserve">TS / avenants (€ HT)</t>
  </si>
  <si>
    <t xml:space="preserve">Montant marché révisé (€ HT)</t>
  </si>
  <si>
    <t xml:space="preserve">Situations facturées cumulées (€ HT)</t>
  </si>
  <si>
    <t xml:space="preserve">% facturé</t>
  </si>
  <si>
    <t xml:space="preserve">Total dépenses (€ HT)</t>
  </si>
  <si>
    <t xml:space="preserve">Marge brute estimée (€ HT)</t>
  </si>
  <si>
    <t xml:space="preserve">Solde à facturer (€ HT)</t>
  </si>
  <si>
    <t xml:space="preserve">Tâches à faire</t>
  </si>
  <si>
    <t xml:space="preserve">Date OPR prévue</t>
  </si>
  <si>
    <t xml:space="preserve">Date OPR réalisée</t>
  </si>
  <si>
    <t xml:space="preserve">Statut chantier</t>
  </si>
  <si>
    <t xml:space="preserve">Priorité</t>
  </si>
  <si>
    <t xml:space="preserve">Dernière mise à jour</t>
  </si>
  <si>
    <t xml:space="preserve">Commentaires</t>
  </si>
  <si>
    <t xml:space="preserve">CH-014</t>
  </si>
  <si>
    <t xml:space="preserve">CH-015</t>
  </si>
  <si>
    <t xml:space="preserve">CH-016</t>
  </si>
  <si>
    <t xml:space="preserve">CH-017</t>
  </si>
  <si>
    <t xml:space="preserve">CH-018</t>
  </si>
  <si>
    <t xml:space="preserve">CH-019</t>
  </si>
  <si>
    <t xml:space="preserve">CH-020</t>
  </si>
  <si>
    <t xml:space="preserve">CH-021</t>
  </si>
  <si>
    <t xml:space="preserve">CH-022</t>
  </si>
  <si>
    <t xml:space="preserve">CH-023</t>
  </si>
  <si>
    <t xml:space="preserve">CH-024</t>
  </si>
  <si>
    <t xml:space="preserve">CH-025</t>
  </si>
  <si>
    <t xml:space="preserve">CH-026</t>
  </si>
  <si>
    <t xml:space="preserve">CH-027</t>
  </si>
  <si>
    <t xml:space="preserve">CH-028</t>
  </si>
  <si>
    <t xml:space="preserve">CH-029</t>
  </si>
  <si>
    <t xml:space="preserve">CH-030</t>
  </si>
  <si>
    <t xml:space="preserve">Synthèse</t>
  </si>
  <si>
    <t xml:space="preserve">Nombre de chantiers saisis</t>
  </si>
  <si>
    <t xml:space="preserve">Repères de statut</t>
  </si>
  <si>
    <t xml:space="preserve">Montant marché révisé total (€ HT)</t>
  </si>
  <si>
    <t xml:space="preserve">Préparation</t>
  </si>
  <si>
    <t xml:space="preserve">Situations facturées totales (€ HT)</t>
  </si>
  <si>
    <t xml:space="preserve">En cours</t>
  </si>
  <si>
    <t xml:space="preserve">Dépenses totales (€ HT)</t>
  </si>
  <si>
    <t xml:space="preserve">OPR à planifier</t>
  </si>
  <si>
    <t xml:space="preserve">Solde total à facturer (€ HT)</t>
  </si>
  <si>
    <t xml:space="preserve">OPR réalisée</t>
  </si>
  <si>
    <t xml:space="preserve">Clôturé</t>
  </si>
  <si>
    <t xml:space="preserve">Fiche chantier – modèle à dupliquer</t>
  </si>
  <si>
    <t xml:space="preserve">Duplique cet onglet pour chaque chantier. Les cellules bleues sont à renseigner. La ligne de reporting ci-dessous peut être reliée à une ligne de la synthèse.</t>
  </si>
  <si>
    <t xml:space="preserve">Zone de reporting vers le tableau de synthèse</t>
  </si>
  <si>
    <t xml:space="preserve">Tâches à faire (résumé)</t>
  </si>
  <si>
    <t xml:space="preserve">1. Informations générales</t>
  </si>
  <si>
    <t xml:space="preserve">Réf. chantier</t>
  </si>
  <si>
    <t xml:space="preserve">CRF</t>
  </si>
  <si>
    <t xml:space="preserve">Mohsan MAHMOOD</t>
  </si>
  <si>
    <t xml:space="preserve">Adresse du chantier</t>
  </si>
  <si>
    <t xml:space="preserve">Statut</t>
  </si>
  <si>
    <t xml:space="preserve">6/8 rue Entroncamento 94350 Villiers-sur-Marne</t>
  </si>
  <si>
    <t xml:space="preserve">2. Données marché</t>
  </si>
  <si>
    <t xml:space="preserve">Objectif marge brute (€ HT)</t>
  </si>
  <si>
    <t xml:space="preserve">Commentaires marché / points contractuels</t>
  </si>
  <si>
    <t xml:space="preserve">3. Situations facturées</t>
  </si>
  <si>
    <t xml:space="preserve">Date</t>
  </si>
  <si>
    <t xml:space="preserve">N° situation</t>
  </si>
  <si>
    <t xml:space="preserve">Libellé</t>
  </si>
  <si>
    <t xml:space="preserve">Montant facturé (€ HT)</t>
  </si>
  <si>
    <t xml:space="preserve">Règlement / observation</t>
  </si>
  <si>
    <t xml:space="preserve">Situation N° 01</t>
  </si>
  <si>
    <t xml:space="preserve">Situation N° 02</t>
  </si>
  <si>
    <t xml:space="preserve">Situation N° 03</t>
  </si>
  <si>
    <t xml:space="preserve">Situation N° 04</t>
  </si>
  <si>
    <t xml:space="preserve">Situation N° 05</t>
  </si>
  <si>
    <t xml:space="preserve">Situation N° 06</t>
  </si>
  <si>
    <t xml:space="preserve">Situation N° 07</t>
  </si>
  <si>
    <t xml:space="preserve">Situation N° 08</t>
  </si>
  <si>
    <t xml:space="preserve">Situation N° 09</t>
  </si>
  <si>
    <t xml:space="preserve">Situation N° 10</t>
  </si>
  <si>
    <t xml:space="preserve">Situation N° 11</t>
  </si>
  <si>
    <t xml:space="preserve">Total situations facturées</t>
  </si>
  <si>
    <t xml:space="preserve">Ce total remonte automatiquement dans la zone de reporting.</t>
  </si>
  <si>
    <t xml:space="preserve">4. Dépenses chantier</t>
  </si>
  <si>
    <t xml:space="preserve">Fournisseur</t>
  </si>
  <si>
    <t xml:space="preserve">Catégorie</t>
  </si>
  <si>
    <t xml:space="preserve">Libellé / détail</t>
  </si>
  <si>
    <t xml:space="preserve">Montant dépense (€ HT)</t>
  </si>
  <si>
    <t xml:space="preserve">Validé / observation</t>
  </si>
  <si>
    <t xml:space="preserve">ART CONCEPT</t>
  </si>
  <si>
    <t xml:space="preserve">Sous-traitant</t>
  </si>
  <si>
    <t xml:space="preserve">Achat matériels pour Fehmi PointP</t>
  </si>
  <si>
    <t xml:space="preserve">Achats divers</t>
  </si>
  <si>
    <t xml:space="preserve">Avances sur situations (virements)</t>
  </si>
  <si>
    <t xml:space="preserve">BOB RENOV</t>
  </si>
  <si>
    <t xml:space="preserve">Mext</t>
  </si>
  <si>
    <t xml:space="preserve">PCCR</t>
  </si>
  <si>
    <t xml:space="preserve">Plomberie CVCPB</t>
  </si>
  <si>
    <t xml:space="preserve">B6 CONCEPT</t>
  </si>
  <si>
    <t xml:space="preserve">BET</t>
  </si>
  <si>
    <t xml:space="preserve">AA Ingénierie</t>
  </si>
  <si>
    <t xml:space="preserve">Polybat</t>
  </si>
  <si>
    <t xml:space="preserve">RAVALEMENT</t>
  </si>
  <si>
    <t xml:space="preserve">SENBAIE</t>
  </si>
  <si>
    <t xml:space="preserve">BSO</t>
  </si>
  <si>
    <t xml:space="preserve">Copypage</t>
  </si>
  <si>
    <t xml:space="preserve">IMPRESSION PLANS</t>
  </si>
  <si>
    <t xml:space="preserve">FULFILER</t>
  </si>
  <si>
    <t xml:space="preserve">EDM</t>
  </si>
  <si>
    <t xml:space="preserve">INSTALLATION DE CHANTIER</t>
  </si>
  <si>
    <t xml:space="preserve">MOHSAN MAHMOOD</t>
  </si>
  <si>
    <t xml:space="preserve">CONDUCTEUR TRVX</t>
  </si>
  <si>
    <t xml:space="preserve">SUIVI DE CHANTIER</t>
  </si>
  <si>
    <t xml:space="preserve">Total dépenses</t>
  </si>
  <si>
    <t xml:space="preserve">5. Tâches à faire / points de vigilance</t>
  </si>
  <si>
    <t xml:space="preserve">Résumé pour la synthèse</t>
  </si>
  <si>
    <t xml:space="preserve">- </t>
  </si>
  <si>
    <t xml:space="preserve">6. Indicateurs chantier</t>
  </si>
  <si>
    <t xml:space="preserve">Montant marché révisé</t>
  </si>
  <si>
    <t xml:space="preserve">Total facturé</t>
  </si>
  <si>
    <t xml:space="preserve">Marge brute estimée</t>
  </si>
  <si>
    <t xml:space="preserve">Solde à facturer</t>
  </si>
  <si>
    <t xml:space="preserve">Écart vs objectif marge</t>
  </si>
  <si>
    <t xml:space="preserve">Haute</t>
  </si>
  <si>
    <t xml:space="preserve">Moyenne</t>
  </si>
  <si>
    <t xml:space="preserve">Basse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</si>
</sst>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\ _€;[RED]\-#,##0\ _€"/>
    <numFmt numFmtId="167" formatCode="0.0%"/>
    <numFmt numFmtId="168" formatCode="dd/mm/yyyy"/>
    <numFmt numFmtId="169" formatCode="#,##0.00\ _€;[RED]\-#,##0.00\ _€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44546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666666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4"/>
      <color rgb="FFFFFFFF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sz val="11"/>
      <color rgb="FF008000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44546A"/>
      </patternFill>
    </fill>
    <fill>
      <patternFill patternType="solid">
        <fgColor rgb="FF1F1F1F"/>
        <bgColor rgb="FF003300"/>
      </patternFill>
    </fill>
    <fill>
      <patternFill patternType="solid">
        <fgColor rgb="FFF2F2F2"/>
        <bgColor rgb="FFE7E6E6"/>
      </patternFill>
    </fill>
    <fill>
      <patternFill patternType="solid">
        <fgColor rgb="FFD9EAF7"/>
        <bgColor rgb="FFDDEBF7"/>
      </patternFill>
    </fill>
    <fill>
      <patternFill patternType="solid">
        <fgColor rgb="FFE2F0D9"/>
        <bgColor rgb="FFD9EAD3"/>
      </patternFill>
    </fill>
    <fill>
      <patternFill patternType="solid">
        <fgColor rgb="FFD9EAD3"/>
        <bgColor rgb="FFE2F0D9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CFE2F3"/>
        <bgColor rgb="FFD9EAF7"/>
      </patternFill>
    </fill>
    <fill>
      <patternFill patternType="solid">
        <fgColor rgb="FFD9D2E9"/>
        <bgColor rgb="FFD9D9D9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9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9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9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CFE2F3"/>
        </patternFill>
      </fill>
    </dxf>
    <dxf>
      <fill>
        <patternFill>
          <bgColor rgb="FFD9D2E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EAD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5CD"/>
      <rgbColor rgb="FFCFE2F3"/>
      <rgbColor rgb="FFE7E6E6"/>
      <rgbColor rgb="FFD9D9D9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546A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SuiviChantiers" displayName="TableSuiviChantiers" ref="A3:S33" headerRowCount="1" totalsRowCount="0" totalsRowShown="0">
  <autoFilter ref="A3:S33"/>
  <tableColumns count="19">
    <tableColumn id="1" name="Réf."/>
    <tableColumn id="2" name="Nom du chantier"/>
    <tableColumn id="3" name="Adresse"/>
    <tableColumn id="4" name="Conducteur de travaux"/>
    <tableColumn id="5" name="Montant base marché (€ HT)"/>
    <tableColumn id="6" name="TS / avenants (€ HT)"/>
    <tableColumn id="7" name="Montant marché révisé (€ HT)"/>
    <tableColumn id="8" name="Situations facturées cumulées (€ HT)"/>
    <tableColumn id="9" name="% facturé"/>
    <tableColumn id="10" name="Total dépenses (€ HT)"/>
    <tableColumn id="11" name="Marge brute estimée (€ HT)"/>
    <tableColumn id="12" name="Solde à facturer (€ HT)"/>
    <tableColumn id="13" name="Tâches à faire"/>
    <tableColumn id="14" name="Date OPR prévue"/>
    <tableColumn id="15" name="Date OPR réalisée"/>
    <tableColumn id="16" name="Statut chantier"/>
    <tableColumn id="17" name="Priorité"/>
    <tableColumn id="18" name="Dernière mise à jour"/>
    <tableColumn id="19" name="Commentaire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9.63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9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9"/>
    <col collapsed="false" customWidth="true" hidden="false" outlineLevel="0" max="12" min="12" style="0" width="18"/>
    <col collapsed="false" customWidth="true" hidden="false" outlineLevel="0" max="13" min="13" style="0" width="28"/>
    <col collapsed="false" customWidth="true" hidden="false" outlineLevel="0" max="15" min="14" style="0" width="14"/>
    <col collapsed="false" customWidth="true" hidden="false" outlineLevel="0" max="16" min="16" style="0" width="17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2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</row>
    <row r="3" customFormat="false" ht="36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</row>
    <row r="4" customFormat="false" ht="14.25" hidden="false" customHeight="false" outlineLevel="0" collapsed="false">
      <c r="A4" s="5" t="e">
        <f aca="false">#REF!</f>
        <v>#REF!</v>
      </c>
      <c r="B4" s="6" t="e">
        <f aca="false">#REF!</f>
        <v>#REF!</v>
      </c>
      <c r="C4" s="6" t="e">
        <f aca="false">#REF!</f>
        <v>#REF!</v>
      </c>
      <c r="D4" s="6" t="e">
        <f aca="false">#REF!</f>
        <v>#REF!</v>
      </c>
      <c r="E4" s="7" t="e">
        <f aca="false">#REF!</f>
        <v>#REF!</v>
      </c>
      <c r="F4" s="7" t="e">
        <f aca="false">#REF!</f>
        <v>#REF!</v>
      </c>
      <c r="G4" s="8" t="e">
        <f aca="false">#REF!</f>
        <v>#REF!</v>
      </c>
      <c r="H4" s="7" t="e">
        <f aca="false">#REF!</f>
        <v>#REF!</v>
      </c>
      <c r="I4" s="9" t="e">
        <f aca="false">#REF!</f>
        <v>#REF!</v>
      </c>
      <c r="J4" s="7" t="e">
        <f aca="false">#REF!</f>
        <v>#REF!</v>
      </c>
      <c r="K4" s="8" t="e">
        <f aca="false">#REF!</f>
        <v>#REF!</v>
      </c>
      <c r="L4" s="8" t="e">
        <f aca="false">#REF!</f>
        <v>#REF!</v>
      </c>
      <c r="M4" s="6" t="e">
        <f aca="false">#REF!</f>
        <v>#REF!</v>
      </c>
      <c r="N4" s="10" t="e">
        <f aca="false">#REF!</f>
        <v>#REF!</v>
      </c>
      <c r="O4" s="10" t="e">
        <f aca="false">#REF!</f>
        <v>#REF!</v>
      </c>
      <c r="P4" s="6" t="e">
        <f aca="false">#REF!</f>
        <v>#REF!</v>
      </c>
      <c r="Q4" s="6" t="e">
        <f aca="false">#REF!</f>
        <v>#REF!</v>
      </c>
      <c r="R4" s="10"/>
      <c r="S4" s="6"/>
    </row>
    <row r="5" customFormat="false" ht="14.25" hidden="false" customHeight="false" outlineLevel="0" collapsed="false">
      <c r="A5" s="5" t="e">
        <f aca="false">#REF!</f>
        <v>#REF!</v>
      </c>
      <c r="B5" s="6" t="e">
        <f aca="false">#REF!</f>
        <v>#REF!</v>
      </c>
      <c r="C5" s="6" t="e">
        <f aca="false">#REF!</f>
        <v>#REF!</v>
      </c>
      <c r="D5" s="6" t="e">
        <f aca="false">#REF!</f>
        <v>#REF!</v>
      </c>
      <c r="E5" s="7" t="e">
        <f aca="false">#REF!</f>
        <v>#REF!</v>
      </c>
      <c r="F5" s="7" t="e">
        <f aca="false">#REF!</f>
        <v>#REF!</v>
      </c>
      <c r="G5" s="8" t="e">
        <f aca="false">#REF!</f>
        <v>#REF!</v>
      </c>
      <c r="H5" s="7" t="e">
        <f aca="false">#REF!</f>
        <v>#REF!</v>
      </c>
      <c r="I5" s="9" t="e">
        <f aca="false">#REF!</f>
        <v>#REF!</v>
      </c>
      <c r="J5" s="7" t="e">
        <f aca="false">#REF!</f>
        <v>#REF!</v>
      </c>
      <c r="K5" s="8" t="e">
        <f aca="false">#REF!</f>
        <v>#REF!</v>
      </c>
      <c r="L5" s="8" t="e">
        <f aca="false">#REF!</f>
        <v>#REF!</v>
      </c>
      <c r="M5" s="6" t="e">
        <f aca="false">#REF!</f>
        <v>#REF!</v>
      </c>
      <c r="N5" s="10" t="e">
        <f aca="false">#REF!</f>
        <v>#REF!</v>
      </c>
      <c r="O5" s="10" t="e">
        <f aca="false">#REF!</f>
        <v>#REF!</v>
      </c>
      <c r="P5" s="6" t="e">
        <f aca="false">#REF!</f>
        <v>#REF!</v>
      </c>
      <c r="Q5" s="6" t="e">
        <f aca="false">#REF!</f>
        <v>#REF!</v>
      </c>
      <c r="R5" s="10"/>
      <c r="S5" s="6"/>
    </row>
    <row r="6" customFormat="false" ht="14.25" hidden="false" customHeight="false" outlineLevel="0" collapsed="false">
      <c r="A6" s="5" t="e">
        <f aca="false">#REF!</f>
        <v>#REF!</v>
      </c>
      <c r="B6" s="6" t="e">
        <f aca="false">#REF!</f>
        <v>#REF!</v>
      </c>
      <c r="C6" s="6" t="e">
        <f aca="false">#REF!</f>
        <v>#REF!</v>
      </c>
      <c r="D6" s="6" t="e">
        <f aca="false">#REF!</f>
        <v>#REF!</v>
      </c>
      <c r="E6" s="6" t="e">
        <f aca="false">#REF!</f>
        <v>#REF!</v>
      </c>
      <c r="F6" s="6" t="e">
        <f aca="false">#REF!</f>
        <v>#REF!</v>
      </c>
      <c r="G6" s="8" t="e">
        <f aca="false">#REF!</f>
        <v>#REF!</v>
      </c>
      <c r="H6" s="7" t="e">
        <f aca="false">#REF!</f>
        <v>#REF!</v>
      </c>
      <c r="I6" s="9" t="e">
        <f aca="false">#REF!</f>
        <v>#REF!</v>
      </c>
      <c r="J6" s="7" t="e">
        <f aca="false">#REF!</f>
        <v>#REF!</v>
      </c>
      <c r="K6" s="8" t="e">
        <f aca="false">#REF!</f>
        <v>#REF!</v>
      </c>
      <c r="L6" s="8" t="e">
        <f aca="false">#REF!</f>
        <v>#REF!</v>
      </c>
      <c r="M6" s="6" t="e">
        <f aca="false">#REF!</f>
        <v>#REF!</v>
      </c>
      <c r="N6" s="10" t="e">
        <f aca="false">#REF!</f>
        <v>#REF!</v>
      </c>
      <c r="O6" s="10" t="e">
        <f aca="false">#REF!</f>
        <v>#REF!</v>
      </c>
      <c r="P6" s="6" t="e">
        <f aca="false">#REF!</f>
        <v>#REF!</v>
      </c>
      <c r="Q6" s="6" t="e">
        <f aca="false">#REF!</f>
        <v>#REF!</v>
      </c>
      <c r="R6" s="10"/>
      <c r="S6" s="6"/>
    </row>
    <row r="7" customFormat="false" ht="14.25" hidden="false" customHeight="true" outlineLevel="0" collapsed="false">
      <c r="A7" s="5" t="e">
        <f aca="false">#REF!</f>
        <v>#REF!</v>
      </c>
      <c r="B7" s="6" t="e">
        <f aca="false">#REF!</f>
        <v>#REF!</v>
      </c>
      <c r="C7" s="6" t="e">
        <f aca="false">#REF!</f>
        <v>#REF!</v>
      </c>
      <c r="D7" s="6" t="e">
        <f aca="false">#REF!</f>
        <v>#REF!</v>
      </c>
      <c r="E7" s="6" t="e">
        <f aca="false">#REF!</f>
        <v>#REF!</v>
      </c>
      <c r="F7" s="6" t="e">
        <f aca="false">#REF!</f>
        <v>#REF!</v>
      </c>
      <c r="G7" s="8" t="e">
        <f aca="false">#REF!</f>
        <v>#REF!</v>
      </c>
      <c r="H7" s="7" t="e">
        <f aca="false">#REF!</f>
        <v>#REF!</v>
      </c>
      <c r="I7" s="9" t="e">
        <f aca="false">#REF!</f>
        <v>#REF!</v>
      </c>
      <c r="J7" s="7" t="e">
        <f aca="false">#REF!</f>
        <v>#REF!</v>
      </c>
      <c r="K7" s="8" t="e">
        <f aca="false">#REF!</f>
        <v>#REF!</v>
      </c>
      <c r="L7" s="8" t="e">
        <f aca="false">#REF!</f>
        <v>#REF!</v>
      </c>
      <c r="M7" s="6" t="e">
        <f aca="false">#REF!</f>
        <v>#REF!</v>
      </c>
      <c r="N7" s="10" t="e">
        <f aca="false">#REF!</f>
        <v>#REF!</v>
      </c>
      <c r="O7" s="10" t="e">
        <f aca="false">#REF!</f>
        <v>#REF!</v>
      </c>
      <c r="P7" s="6" t="e">
        <f aca="false">#REF!</f>
        <v>#REF!</v>
      </c>
      <c r="Q7" s="6" t="e">
        <f aca="false">#REF!</f>
        <v>#REF!</v>
      </c>
      <c r="R7" s="10"/>
      <c r="S7" s="6"/>
    </row>
    <row r="8" customFormat="false" ht="14.25" hidden="false" customHeight="true" outlineLevel="0" collapsed="false">
      <c r="A8" s="5" t="e">
        <f aca="false">#REF!</f>
        <v>#REF!</v>
      </c>
      <c r="B8" s="6" t="e">
        <f aca="false">#REF!</f>
        <v>#REF!</v>
      </c>
      <c r="C8" s="6" t="e">
        <f aca="false">#REF!</f>
        <v>#REF!</v>
      </c>
      <c r="D8" s="6" t="e">
        <f aca="false">#REF!</f>
        <v>#REF!</v>
      </c>
      <c r="E8" s="6" t="e">
        <f aca="false">#REF!</f>
        <v>#REF!</v>
      </c>
      <c r="F8" s="6" t="e">
        <f aca="false">#REF!</f>
        <v>#REF!</v>
      </c>
      <c r="G8" s="8" t="e">
        <f aca="false">#REF!</f>
        <v>#REF!</v>
      </c>
      <c r="H8" s="7" t="e">
        <f aca="false">#REF!</f>
        <v>#REF!</v>
      </c>
      <c r="I8" s="9" t="e">
        <f aca="false">#REF!</f>
        <v>#REF!</v>
      </c>
      <c r="J8" s="7" t="e">
        <f aca="false">#REF!</f>
        <v>#REF!</v>
      </c>
      <c r="K8" s="8" t="e">
        <f aca="false">#REF!</f>
        <v>#REF!</v>
      </c>
      <c r="L8" s="8" t="e">
        <f aca="false">#REF!</f>
        <v>#REF!</v>
      </c>
      <c r="M8" s="6" t="e">
        <f aca="false">#REF!</f>
        <v>#REF!</v>
      </c>
      <c r="N8" s="10" t="e">
        <f aca="false">#REF!</f>
        <v>#REF!</v>
      </c>
      <c r="O8" s="10" t="e">
        <f aca="false">#REF!</f>
        <v>#REF!</v>
      </c>
      <c r="P8" s="6" t="e">
        <f aca="false">#REF!</f>
        <v>#REF!</v>
      </c>
      <c r="Q8" s="6" t="e">
        <f aca="false">#REF!</f>
        <v>#REF!</v>
      </c>
      <c r="R8" s="10"/>
      <c r="S8" s="6"/>
    </row>
    <row r="9" customFormat="false" ht="14.25" hidden="false" customHeight="true" outlineLevel="0" collapsed="false">
      <c r="A9" s="5" t="str">
        <f aca="false">CRF!B6</f>
        <v>CRF</v>
      </c>
      <c r="B9" s="6" t="str">
        <f aca="false">CRF!C6</f>
        <v>CRF</v>
      </c>
      <c r="C9" s="6" t="str">
        <f aca="false">CRF!D6</f>
        <v>6/8 rue Entroncamento 94350 Villiers-sur-Marne</v>
      </c>
      <c r="D9" s="6" t="str">
        <f aca="false">CRF!E6</f>
        <v>Mohsan MAHMOOD</v>
      </c>
      <c r="E9" s="11" t="n">
        <f aca="false">CRF!F6</f>
        <v>929613.5</v>
      </c>
      <c r="F9" s="11" t="n">
        <f aca="false">CRF!G6</f>
        <v>88498.82</v>
      </c>
      <c r="G9" s="8" t="n">
        <f aca="false">CRF!H6</f>
        <v>1018112.32</v>
      </c>
      <c r="H9" s="7" t="n">
        <f aca="false">CRF!I6</f>
        <v>900789.04</v>
      </c>
      <c r="I9" s="9" t="n">
        <f aca="false">CRF!J6</f>
        <v>0.884763912885368</v>
      </c>
      <c r="J9" s="7" t="n">
        <f aca="false">CRF!K6</f>
        <v>613254.33</v>
      </c>
      <c r="K9" s="8" t="n">
        <f aca="false">CRF!L6</f>
        <v>287534.71</v>
      </c>
      <c r="L9" s="8" t="n">
        <f aca="false">CRF!M6</f>
        <v>117323.28</v>
      </c>
      <c r="M9" s="6" t="n">
        <f aca="false">CRF!N6</f>
        <v>0</v>
      </c>
      <c r="N9" s="10" t="n">
        <f aca="false">CRF!O6</f>
        <v>0</v>
      </c>
      <c r="O9" s="10" t="n">
        <f aca="false">CRF!P6</f>
        <v>0</v>
      </c>
      <c r="P9" s="6" t="str">
        <f aca="false">CRF!Q6</f>
        <v>En cours</v>
      </c>
      <c r="Q9" s="6" t="n">
        <f aca="false">CRF!R6</f>
        <v>0</v>
      </c>
      <c r="R9" s="10"/>
      <c r="S9" s="6"/>
    </row>
    <row r="10" customFormat="false" ht="14.25" hidden="false" customHeight="true" outlineLevel="0" collapsed="false">
      <c r="A10" s="5" t="e">
        <f aca="false">#REF!</f>
        <v>#REF!</v>
      </c>
      <c r="B10" s="6" t="e">
        <f aca="false">#REF!</f>
        <v>#REF!</v>
      </c>
      <c r="C10" s="6" t="e">
        <f aca="false">#REF!</f>
        <v>#REF!</v>
      </c>
      <c r="D10" s="6" t="e">
        <f aca="false">#REF!</f>
        <v>#REF!</v>
      </c>
      <c r="E10" s="6" t="e">
        <f aca="false">#REF!</f>
        <v>#REF!</v>
      </c>
      <c r="F10" s="6" t="e">
        <f aca="false">#REF!</f>
        <v>#REF!</v>
      </c>
      <c r="G10" s="8" t="e">
        <f aca="false">#REF!</f>
        <v>#REF!</v>
      </c>
      <c r="H10" s="7" t="e">
        <f aca="false">#REF!</f>
        <v>#REF!</v>
      </c>
      <c r="I10" s="9" t="e">
        <f aca="false">#REF!</f>
        <v>#REF!</v>
      </c>
      <c r="J10" s="7" t="e">
        <f aca="false">#REF!</f>
        <v>#REF!</v>
      </c>
      <c r="K10" s="8" t="e">
        <f aca="false">#REF!</f>
        <v>#REF!</v>
      </c>
      <c r="L10" s="8" t="e">
        <f aca="false">#REF!</f>
        <v>#REF!</v>
      </c>
      <c r="M10" s="6" t="e">
        <f aca="false">#REF!</f>
        <v>#REF!</v>
      </c>
      <c r="N10" s="10" t="e">
        <f aca="false">#REF!</f>
        <v>#REF!</v>
      </c>
      <c r="O10" s="10" t="e">
        <f aca="false">#REF!</f>
        <v>#REF!</v>
      </c>
      <c r="P10" s="6" t="e">
        <f aca="false">#REF!</f>
        <v>#REF!</v>
      </c>
      <c r="Q10" s="6" t="e">
        <f aca="false">#REF!</f>
        <v>#REF!</v>
      </c>
      <c r="R10" s="10"/>
      <c r="S10" s="6"/>
    </row>
    <row r="11" customFormat="false" ht="14.25" hidden="false" customHeight="true" outlineLevel="0" collapsed="false">
      <c r="A11" s="5" t="e">
        <f aca="false">#REF!</f>
        <v>#REF!</v>
      </c>
      <c r="B11" s="6" t="e">
        <f aca="false">#REF!</f>
        <v>#REF!</v>
      </c>
      <c r="C11" s="6" t="e">
        <f aca="false">#REF!</f>
        <v>#REF!</v>
      </c>
      <c r="D11" s="6" t="e">
        <f aca="false">#REF!</f>
        <v>#REF!</v>
      </c>
      <c r="E11" s="6" t="e">
        <f aca="false">#REF!</f>
        <v>#REF!</v>
      </c>
      <c r="F11" s="6" t="e">
        <f aca="false">#REF!</f>
        <v>#REF!</v>
      </c>
      <c r="G11" s="8" t="e">
        <f aca="false">#REF!</f>
        <v>#REF!</v>
      </c>
      <c r="H11" s="7" t="e">
        <f aca="false">#REF!</f>
        <v>#REF!</v>
      </c>
      <c r="I11" s="9" t="e">
        <f aca="false">#REF!</f>
        <v>#REF!</v>
      </c>
      <c r="J11" s="7" t="e">
        <f aca="false">#REF!</f>
        <v>#REF!</v>
      </c>
      <c r="K11" s="8" t="e">
        <f aca="false">#REF!</f>
        <v>#REF!</v>
      </c>
      <c r="L11" s="8" t="e">
        <f aca="false">#REF!</f>
        <v>#REF!</v>
      </c>
      <c r="M11" s="6" t="e">
        <f aca="false">#REF!</f>
        <v>#REF!</v>
      </c>
      <c r="N11" s="10" t="e">
        <f aca="false">#REF!</f>
        <v>#REF!</v>
      </c>
      <c r="O11" s="10" t="e">
        <f aca="false">#REF!</f>
        <v>#REF!</v>
      </c>
      <c r="P11" s="6" t="e">
        <f aca="false">#REF!</f>
        <v>#REF!</v>
      </c>
      <c r="Q11" s="6" t="e">
        <f aca="false">#REF!</f>
        <v>#REF!</v>
      </c>
      <c r="R11" s="10"/>
      <c r="S11" s="6"/>
    </row>
    <row r="12" customFormat="false" ht="14.25" hidden="false" customHeight="true" outlineLevel="0" collapsed="false">
      <c r="A12" s="5" t="e">
        <f aca="false">#REF!</f>
        <v>#REF!</v>
      </c>
      <c r="B12" s="6" t="e">
        <f aca="false">#REF!</f>
        <v>#REF!</v>
      </c>
      <c r="C12" s="6" t="e">
        <f aca="false">#REF!</f>
        <v>#REF!</v>
      </c>
      <c r="D12" s="6" t="e">
        <f aca="false">#REF!</f>
        <v>#REF!</v>
      </c>
      <c r="E12" s="6" t="e">
        <f aca="false">#REF!</f>
        <v>#REF!</v>
      </c>
      <c r="F12" s="6" t="e">
        <f aca="false">#REF!</f>
        <v>#REF!</v>
      </c>
      <c r="G12" s="8" t="e">
        <f aca="false">#REF!</f>
        <v>#REF!</v>
      </c>
      <c r="H12" s="7" t="e">
        <f aca="false">#REF!</f>
        <v>#REF!</v>
      </c>
      <c r="I12" s="9" t="e">
        <f aca="false">#REF!</f>
        <v>#REF!</v>
      </c>
      <c r="J12" s="7" t="e">
        <f aca="false">#REF!</f>
        <v>#REF!</v>
      </c>
      <c r="K12" s="8" t="e">
        <f aca="false">#REF!</f>
        <v>#REF!</v>
      </c>
      <c r="L12" s="8" t="e">
        <f aca="false">#REF!</f>
        <v>#REF!</v>
      </c>
      <c r="M12" s="6" t="e">
        <f aca="false">#REF!</f>
        <v>#REF!</v>
      </c>
      <c r="N12" s="10" t="e">
        <f aca="false">#REF!</f>
        <v>#REF!</v>
      </c>
      <c r="O12" s="10" t="e">
        <f aca="false">#REF!</f>
        <v>#REF!</v>
      </c>
      <c r="P12" s="6" t="e">
        <f aca="false">#REF!</f>
        <v>#REF!</v>
      </c>
      <c r="Q12" s="6" t="e">
        <f aca="false">#REF!</f>
        <v>#REF!</v>
      </c>
      <c r="R12" s="10"/>
      <c r="S12" s="6"/>
    </row>
    <row r="13" customFormat="false" ht="14.25" hidden="false" customHeight="true" outlineLevel="0" collapsed="false">
      <c r="A13" s="5" t="e">
        <f aca="false">#REF!</f>
        <v>#REF!</v>
      </c>
      <c r="B13" s="6" t="e">
        <f aca="false">#REF!</f>
        <v>#REF!</v>
      </c>
      <c r="C13" s="6" t="e">
        <f aca="false">#REF!</f>
        <v>#REF!</v>
      </c>
      <c r="D13" s="6" t="e">
        <f aca="false">#REF!</f>
        <v>#REF!</v>
      </c>
      <c r="E13" s="6" t="e">
        <f aca="false">#REF!</f>
        <v>#REF!</v>
      </c>
      <c r="F13" s="6" t="e">
        <f aca="false">#REF!</f>
        <v>#REF!</v>
      </c>
      <c r="G13" s="8" t="e">
        <f aca="false">#REF!</f>
        <v>#REF!</v>
      </c>
      <c r="H13" s="7" t="e">
        <f aca="false">#REF!</f>
        <v>#REF!</v>
      </c>
      <c r="I13" s="9" t="e">
        <f aca="false">#REF!</f>
        <v>#REF!</v>
      </c>
      <c r="J13" s="7" t="e">
        <f aca="false">#REF!</f>
        <v>#REF!</v>
      </c>
      <c r="K13" s="8" t="e">
        <f aca="false">#REF!</f>
        <v>#REF!</v>
      </c>
      <c r="L13" s="8" t="e">
        <f aca="false">#REF!</f>
        <v>#REF!</v>
      </c>
      <c r="M13" s="6" t="e">
        <f aca="false">#REF!</f>
        <v>#REF!</v>
      </c>
      <c r="N13" s="10" t="e">
        <f aca="false">#REF!</f>
        <v>#REF!</v>
      </c>
      <c r="O13" s="10" t="e">
        <f aca="false">#REF!</f>
        <v>#REF!</v>
      </c>
      <c r="P13" s="6" t="e">
        <f aca="false">#REF!</f>
        <v>#REF!</v>
      </c>
      <c r="Q13" s="6" t="e">
        <f aca="false">#REF!</f>
        <v>#REF!</v>
      </c>
      <c r="R13" s="10"/>
      <c r="S13" s="6"/>
    </row>
    <row r="14" customFormat="false" ht="14.25" hidden="false" customHeight="true" outlineLevel="0" collapsed="false">
      <c r="A14" s="5" t="e">
        <f aca="false">#REF!</f>
        <v>#REF!</v>
      </c>
      <c r="B14" s="6" t="e">
        <f aca="false">#REF!</f>
        <v>#REF!</v>
      </c>
      <c r="C14" s="6" t="e">
        <f aca="false">#REF!</f>
        <v>#REF!</v>
      </c>
      <c r="D14" s="6" t="e">
        <f aca="false">#REF!</f>
        <v>#REF!</v>
      </c>
      <c r="E14" s="6" t="e">
        <f aca="false">#REF!</f>
        <v>#REF!</v>
      </c>
      <c r="F14" s="6" t="e">
        <f aca="false">#REF!</f>
        <v>#REF!</v>
      </c>
      <c r="G14" s="8" t="e">
        <f aca="false">#REF!</f>
        <v>#REF!</v>
      </c>
      <c r="H14" s="7" t="e">
        <f aca="false">#REF!</f>
        <v>#REF!</v>
      </c>
      <c r="I14" s="9" t="e">
        <f aca="false">#REF!</f>
        <v>#REF!</v>
      </c>
      <c r="J14" s="7" t="e">
        <f aca="false">#REF!</f>
        <v>#REF!</v>
      </c>
      <c r="K14" s="8" t="e">
        <f aca="false">#REF!</f>
        <v>#REF!</v>
      </c>
      <c r="L14" s="8" t="e">
        <f aca="false">#REF!</f>
        <v>#REF!</v>
      </c>
      <c r="M14" s="6" t="e">
        <f aca="false">#REF!</f>
        <v>#REF!</v>
      </c>
      <c r="N14" s="10" t="e">
        <f aca="false">#REF!</f>
        <v>#REF!</v>
      </c>
      <c r="O14" s="10" t="e">
        <f aca="false">#REF!</f>
        <v>#REF!</v>
      </c>
      <c r="P14" s="6" t="e">
        <f aca="false">#REF!</f>
        <v>#REF!</v>
      </c>
      <c r="Q14" s="6" t="e">
        <f aca="false">#REF!</f>
        <v>#REF!</v>
      </c>
      <c r="R14" s="10"/>
      <c r="S14" s="6"/>
    </row>
    <row r="15" customFormat="false" ht="14.25" hidden="false" customHeight="true" outlineLevel="0" collapsed="false">
      <c r="A15" s="5" t="e">
        <f aca="false">#REF!</f>
        <v>#REF!</v>
      </c>
      <c r="B15" s="6" t="e">
        <f aca="false">#REF!</f>
        <v>#REF!</v>
      </c>
      <c r="C15" s="6" t="e">
        <f aca="false">#REF!</f>
        <v>#REF!</v>
      </c>
      <c r="D15" s="6" t="e">
        <f aca="false">#REF!</f>
        <v>#REF!</v>
      </c>
      <c r="E15" s="6" t="e">
        <f aca="false">#REF!</f>
        <v>#REF!</v>
      </c>
      <c r="F15" s="6" t="e">
        <f aca="false">#REF!</f>
        <v>#REF!</v>
      </c>
      <c r="G15" s="8" t="e">
        <f aca="false">#REF!</f>
        <v>#REF!</v>
      </c>
      <c r="H15" s="7" t="e">
        <f aca="false">#REF!</f>
        <v>#REF!</v>
      </c>
      <c r="I15" s="9" t="e">
        <f aca="false">#REF!</f>
        <v>#REF!</v>
      </c>
      <c r="J15" s="7" t="e">
        <f aca="false">#REF!</f>
        <v>#REF!</v>
      </c>
      <c r="K15" s="8" t="e">
        <f aca="false">#REF!</f>
        <v>#REF!</v>
      </c>
      <c r="L15" s="8" t="e">
        <f aca="false">#REF!</f>
        <v>#REF!</v>
      </c>
      <c r="M15" s="6" t="e">
        <f aca="false">#REF!</f>
        <v>#REF!</v>
      </c>
      <c r="N15" s="10" t="e">
        <f aca="false">#REF!</f>
        <v>#REF!</v>
      </c>
      <c r="O15" s="10" t="e">
        <f aca="false">#REF!</f>
        <v>#REF!</v>
      </c>
      <c r="P15" s="6" t="e">
        <f aca="false">#REF!</f>
        <v>#REF!</v>
      </c>
      <c r="Q15" s="6" t="e">
        <f aca="false">#REF!</f>
        <v>#REF!</v>
      </c>
      <c r="R15" s="10"/>
      <c r="S15" s="6"/>
    </row>
    <row r="16" customFormat="false" ht="14.25" hidden="false" customHeight="true" outlineLevel="0" collapsed="false">
      <c r="A16" s="5" t="e">
        <f aca="false">#REF!</f>
        <v>#REF!</v>
      </c>
      <c r="B16" s="6" t="e">
        <f aca="false">#REF!</f>
        <v>#REF!</v>
      </c>
      <c r="C16" s="6" t="e">
        <f aca="false">#REF!</f>
        <v>#REF!</v>
      </c>
      <c r="D16" s="6" t="e">
        <f aca="false">#REF!</f>
        <v>#REF!</v>
      </c>
      <c r="E16" s="6" t="e">
        <f aca="false">#REF!</f>
        <v>#REF!</v>
      </c>
      <c r="F16" s="6" t="e">
        <f aca="false">#REF!</f>
        <v>#REF!</v>
      </c>
      <c r="G16" s="8" t="e">
        <f aca="false">#REF!</f>
        <v>#REF!</v>
      </c>
      <c r="H16" s="7" t="e">
        <f aca="false">#REF!</f>
        <v>#REF!</v>
      </c>
      <c r="I16" s="9" t="e">
        <f aca="false">#REF!</f>
        <v>#REF!</v>
      </c>
      <c r="J16" s="7" t="e">
        <f aca="false">#REF!</f>
        <v>#REF!</v>
      </c>
      <c r="K16" s="8" t="e">
        <f aca="false">#REF!</f>
        <v>#REF!</v>
      </c>
      <c r="L16" s="8" t="e">
        <f aca="false">#REF!</f>
        <v>#REF!</v>
      </c>
      <c r="M16" s="6" t="e">
        <f aca="false">#REF!</f>
        <v>#REF!</v>
      </c>
      <c r="N16" s="10" t="e">
        <f aca="false">#REF!</f>
        <v>#REF!</v>
      </c>
      <c r="O16" s="10" t="e">
        <f aca="false">#REF!</f>
        <v>#REF!</v>
      </c>
      <c r="P16" s="6" t="e">
        <f aca="false">#REF!</f>
        <v>#REF!</v>
      </c>
      <c r="Q16" s="6" t="e">
        <f aca="false">#REF!</f>
        <v>#REF!</v>
      </c>
      <c r="R16" s="10"/>
      <c r="S16" s="6"/>
    </row>
    <row r="17" customFormat="false" ht="14.25" hidden="false" customHeight="false" outlineLevel="0" collapsed="false">
      <c r="A17" s="5" t="s">
        <v>22</v>
      </c>
      <c r="B17" s="6"/>
      <c r="C17" s="6"/>
      <c r="D17" s="6"/>
      <c r="E17" s="7"/>
      <c r="F17" s="7"/>
      <c r="G17" s="8" t="n">
        <f aca="false">IFERROR(E17+F17,"")</f>
        <v>0</v>
      </c>
      <c r="H17" s="7"/>
      <c r="I17" s="9" t="n">
        <f aca="false">IFERROR(H17/G17,0)</f>
        <v>0</v>
      </c>
      <c r="J17" s="7"/>
      <c r="K17" s="8" t="n">
        <f aca="false">IFERROR(H17-J17,"")</f>
        <v>0</v>
      </c>
      <c r="L17" s="8" t="n">
        <f aca="false">IFERROR(G17-H17,"")</f>
        <v>0</v>
      </c>
      <c r="M17" s="6"/>
      <c r="N17" s="10"/>
      <c r="O17" s="10"/>
      <c r="P17" s="6"/>
      <c r="Q17" s="6"/>
      <c r="R17" s="10"/>
      <c r="S17" s="6"/>
    </row>
    <row r="18" customFormat="false" ht="14.25" hidden="false" customHeight="false" outlineLevel="0" collapsed="false">
      <c r="A18" s="5" t="s">
        <v>23</v>
      </c>
      <c r="B18" s="6"/>
      <c r="C18" s="6"/>
      <c r="D18" s="6"/>
      <c r="E18" s="7"/>
      <c r="F18" s="7"/>
      <c r="G18" s="8" t="n">
        <f aca="false">IFERROR(E18+F18,"")</f>
        <v>0</v>
      </c>
      <c r="H18" s="7"/>
      <c r="I18" s="9" t="n">
        <f aca="false">IFERROR(H18/G18,0)</f>
        <v>0</v>
      </c>
      <c r="J18" s="7"/>
      <c r="K18" s="8" t="n">
        <f aca="false">IFERROR(H18-J18,"")</f>
        <v>0</v>
      </c>
      <c r="L18" s="8" t="n">
        <f aca="false">IFERROR(G18-H18,"")</f>
        <v>0</v>
      </c>
      <c r="M18" s="6"/>
      <c r="N18" s="10"/>
      <c r="O18" s="10"/>
      <c r="P18" s="6"/>
      <c r="Q18" s="6"/>
      <c r="R18" s="10"/>
      <c r="S18" s="6"/>
    </row>
    <row r="19" customFormat="false" ht="14.25" hidden="false" customHeight="false" outlineLevel="0" collapsed="false">
      <c r="A19" s="5" t="s">
        <v>24</v>
      </c>
      <c r="B19" s="6"/>
      <c r="C19" s="6"/>
      <c r="D19" s="6"/>
      <c r="E19" s="7"/>
      <c r="F19" s="7"/>
      <c r="G19" s="8" t="n">
        <f aca="false">IFERROR(E19+F19,"")</f>
        <v>0</v>
      </c>
      <c r="H19" s="7"/>
      <c r="I19" s="9" t="n">
        <f aca="false">IFERROR(H19/G19,0)</f>
        <v>0</v>
      </c>
      <c r="J19" s="7"/>
      <c r="K19" s="8" t="n">
        <f aca="false">IFERROR(H19-J19,"")</f>
        <v>0</v>
      </c>
      <c r="L19" s="8" t="n">
        <f aca="false">IFERROR(G19-H19,"")</f>
        <v>0</v>
      </c>
      <c r="M19" s="6"/>
      <c r="N19" s="10"/>
      <c r="O19" s="10"/>
      <c r="P19" s="6"/>
      <c r="Q19" s="6"/>
      <c r="R19" s="10"/>
      <c r="S19" s="6"/>
    </row>
    <row r="20" customFormat="false" ht="14.25" hidden="false" customHeight="false" outlineLevel="0" collapsed="false">
      <c r="A20" s="5" t="s">
        <v>25</v>
      </c>
      <c r="B20" s="6"/>
      <c r="C20" s="6"/>
      <c r="D20" s="6"/>
      <c r="E20" s="7"/>
      <c r="F20" s="7"/>
      <c r="G20" s="8" t="n">
        <f aca="false">IFERROR(E20+F20,"")</f>
        <v>0</v>
      </c>
      <c r="H20" s="7"/>
      <c r="I20" s="9" t="n">
        <f aca="false">IFERROR(H20/G20,0)</f>
        <v>0</v>
      </c>
      <c r="J20" s="7"/>
      <c r="K20" s="8" t="n">
        <f aca="false">IFERROR(H20-J20,"")</f>
        <v>0</v>
      </c>
      <c r="L20" s="8" t="n">
        <f aca="false">IFERROR(G20-H20,"")</f>
        <v>0</v>
      </c>
      <c r="M20" s="6"/>
      <c r="N20" s="10"/>
      <c r="O20" s="10"/>
      <c r="P20" s="6"/>
      <c r="Q20" s="6"/>
      <c r="R20" s="10"/>
      <c r="S20" s="6"/>
    </row>
    <row r="21" customFormat="false" ht="14.25" hidden="false" customHeight="false" outlineLevel="0" collapsed="false">
      <c r="A21" s="5" t="s">
        <v>26</v>
      </c>
      <c r="B21" s="6"/>
      <c r="C21" s="6"/>
      <c r="D21" s="6"/>
      <c r="E21" s="7"/>
      <c r="F21" s="7"/>
      <c r="G21" s="8" t="n">
        <f aca="false">IFERROR(E21+F21,"")</f>
        <v>0</v>
      </c>
      <c r="H21" s="7"/>
      <c r="I21" s="9" t="n">
        <f aca="false">IFERROR(H21/G21,0)</f>
        <v>0</v>
      </c>
      <c r="J21" s="7"/>
      <c r="K21" s="8" t="n">
        <f aca="false">IFERROR(H21-J21,"")</f>
        <v>0</v>
      </c>
      <c r="L21" s="8" t="n">
        <f aca="false">IFERROR(G21-H21,"")</f>
        <v>0</v>
      </c>
      <c r="M21" s="6"/>
      <c r="N21" s="10"/>
      <c r="O21" s="10"/>
      <c r="P21" s="6"/>
      <c r="Q21" s="6"/>
      <c r="R21" s="10"/>
      <c r="S21" s="6"/>
    </row>
    <row r="22" customFormat="false" ht="14.25" hidden="false" customHeight="false" outlineLevel="0" collapsed="false">
      <c r="A22" s="5" t="s">
        <v>27</v>
      </c>
      <c r="B22" s="6"/>
      <c r="C22" s="6"/>
      <c r="D22" s="6"/>
      <c r="E22" s="7"/>
      <c r="F22" s="7"/>
      <c r="G22" s="8" t="n">
        <f aca="false">IFERROR(E22+F22,"")</f>
        <v>0</v>
      </c>
      <c r="H22" s="7"/>
      <c r="I22" s="9" t="n">
        <f aca="false">IFERROR(H22/G22,0)</f>
        <v>0</v>
      </c>
      <c r="J22" s="7"/>
      <c r="K22" s="8" t="n">
        <f aca="false">IFERROR(H22-J22,"")</f>
        <v>0</v>
      </c>
      <c r="L22" s="8" t="n">
        <f aca="false">IFERROR(G22-H22,"")</f>
        <v>0</v>
      </c>
      <c r="M22" s="6"/>
      <c r="N22" s="10"/>
      <c r="O22" s="10"/>
      <c r="P22" s="6"/>
      <c r="Q22" s="6"/>
      <c r="R22" s="10"/>
      <c r="S22" s="6"/>
    </row>
    <row r="23" customFormat="false" ht="14.25" hidden="false" customHeight="false" outlineLevel="0" collapsed="false">
      <c r="A23" s="5" t="s">
        <v>28</v>
      </c>
      <c r="B23" s="6"/>
      <c r="C23" s="6"/>
      <c r="D23" s="6"/>
      <c r="E23" s="7"/>
      <c r="F23" s="7"/>
      <c r="G23" s="8" t="n">
        <f aca="false">IFERROR(E23+F23,"")</f>
        <v>0</v>
      </c>
      <c r="H23" s="7"/>
      <c r="I23" s="9" t="n">
        <f aca="false">IFERROR(H23/G23,0)</f>
        <v>0</v>
      </c>
      <c r="J23" s="7"/>
      <c r="K23" s="8" t="n">
        <f aca="false">IFERROR(H23-J23,"")</f>
        <v>0</v>
      </c>
      <c r="L23" s="8" t="n">
        <f aca="false">IFERROR(G23-H23,"")</f>
        <v>0</v>
      </c>
      <c r="M23" s="6"/>
      <c r="N23" s="10"/>
      <c r="O23" s="10"/>
      <c r="P23" s="6"/>
      <c r="Q23" s="6"/>
      <c r="R23" s="10"/>
      <c r="S23" s="6"/>
    </row>
    <row r="24" customFormat="false" ht="14.25" hidden="false" customHeight="false" outlineLevel="0" collapsed="false">
      <c r="A24" s="5" t="s">
        <v>29</v>
      </c>
      <c r="B24" s="6"/>
      <c r="C24" s="6"/>
      <c r="D24" s="6"/>
      <c r="E24" s="7"/>
      <c r="F24" s="7"/>
      <c r="G24" s="8" t="n">
        <f aca="false">IFERROR(E24+F24,"")</f>
        <v>0</v>
      </c>
      <c r="H24" s="7"/>
      <c r="I24" s="9" t="n">
        <f aca="false">IFERROR(H24/G24,0)</f>
        <v>0</v>
      </c>
      <c r="J24" s="7"/>
      <c r="K24" s="8" t="n">
        <f aca="false">IFERROR(H24-J24,"")</f>
        <v>0</v>
      </c>
      <c r="L24" s="8" t="n">
        <f aca="false">IFERROR(G24-H24,"")</f>
        <v>0</v>
      </c>
      <c r="M24" s="6"/>
      <c r="N24" s="10"/>
      <c r="O24" s="10"/>
      <c r="P24" s="6"/>
      <c r="Q24" s="6"/>
      <c r="R24" s="10"/>
      <c r="S24" s="6"/>
    </row>
    <row r="25" customFormat="false" ht="14.25" hidden="false" customHeight="false" outlineLevel="0" collapsed="false">
      <c r="A25" s="5" t="s">
        <v>30</v>
      </c>
      <c r="B25" s="6"/>
      <c r="C25" s="6"/>
      <c r="D25" s="6"/>
      <c r="E25" s="7"/>
      <c r="F25" s="7"/>
      <c r="G25" s="8" t="n">
        <f aca="false">IFERROR(E25+F25,"")</f>
        <v>0</v>
      </c>
      <c r="H25" s="7"/>
      <c r="I25" s="9" t="n">
        <f aca="false">IFERROR(H25/G25,0)</f>
        <v>0</v>
      </c>
      <c r="J25" s="7"/>
      <c r="K25" s="8" t="n">
        <f aca="false">IFERROR(H25-J25,"")</f>
        <v>0</v>
      </c>
      <c r="L25" s="8" t="n">
        <f aca="false">IFERROR(G25-H25,"")</f>
        <v>0</v>
      </c>
      <c r="M25" s="6"/>
      <c r="N25" s="10"/>
      <c r="O25" s="10"/>
      <c r="P25" s="6"/>
      <c r="Q25" s="6"/>
      <c r="R25" s="10"/>
      <c r="S25" s="6"/>
    </row>
    <row r="26" customFormat="false" ht="14.25" hidden="false" customHeight="false" outlineLevel="0" collapsed="false">
      <c r="A26" s="5" t="s">
        <v>31</v>
      </c>
      <c r="B26" s="6"/>
      <c r="C26" s="6"/>
      <c r="D26" s="6"/>
      <c r="E26" s="7"/>
      <c r="F26" s="7"/>
      <c r="G26" s="8" t="n">
        <f aca="false">IFERROR(E26+F26,"")</f>
        <v>0</v>
      </c>
      <c r="H26" s="7"/>
      <c r="I26" s="9" t="n">
        <f aca="false">IFERROR(H26/G26,0)</f>
        <v>0</v>
      </c>
      <c r="J26" s="7"/>
      <c r="K26" s="8" t="n">
        <f aca="false">IFERROR(H26-J26,"")</f>
        <v>0</v>
      </c>
      <c r="L26" s="8" t="n">
        <f aca="false">IFERROR(G26-H26,"")</f>
        <v>0</v>
      </c>
      <c r="M26" s="6"/>
      <c r="N26" s="10"/>
      <c r="O26" s="10"/>
      <c r="P26" s="6"/>
      <c r="Q26" s="6"/>
      <c r="R26" s="10"/>
      <c r="S26" s="6"/>
    </row>
    <row r="27" customFormat="false" ht="14.25" hidden="false" customHeight="false" outlineLevel="0" collapsed="false">
      <c r="A27" s="5" t="s">
        <v>32</v>
      </c>
      <c r="B27" s="6"/>
      <c r="C27" s="6"/>
      <c r="D27" s="6"/>
      <c r="E27" s="7"/>
      <c r="F27" s="7"/>
      <c r="G27" s="8" t="n">
        <f aca="false">IFERROR(E27+F27,"")</f>
        <v>0</v>
      </c>
      <c r="H27" s="7"/>
      <c r="I27" s="9" t="n">
        <f aca="false">IFERROR(H27/G27,0)</f>
        <v>0</v>
      </c>
      <c r="J27" s="7"/>
      <c r="K27" s="8" t="n">
        <f aca="false">IFERROR(H27-J27,"")</f>
        <v>0</v>
      </c>
      <c r="L27" s="8" t="n">
        <f aca="false">IFERROR(G27-H27,"")</f>
        <v>0</v>
      </c>
      <c r="M27" s="6"/>
      <c r="N27" s="10"/>
      <c r="O27" s="10"/>
      <c r="P27" s="6"/>
      <c r="Q27" s="6"/>
      <c r="R27" s="10"/>
      <c r="S27" s="6"/>
    </row>
    <row r="28" customFormat="false" ht="14.25" hidden="false" customHeight="false" outlineLevel="0" collapsed="false">
      <c r="A28" s="5" t="s">
        <v>33</v>
      </c>
      <c r="B28" s="6"/>
      <c r="C28" s="6"/>
      <c r="D28" s="6"/>
      <c r="E28" s="7"/>
      <c r="F28" s="7"/>
      <c r="G28" s="8" t="n">
        <f aca="false">IFERROR(E28+F28,"")</f>
        <v>0</v>
      </c>
      <c r="H28" s="7"/>
      <c r="I28" s="9" t="n">
        <f aca="false">IFERROR(H28/G28,0)</f>
        <v>0</v>
      </c>
      <c r="J28" s="7"/>
      <c r="K28" s="8" t="n">
        <f aca="false">IFERROR(H28-J28,"")</f>
        <v>0</v>
      </c>
      <c r="L28" s="8" t="n">
        <f aca="false">IFERROR(G28-H28,"")</f>
        <v>0</v>
      </c>
      <c r="M28" s="6"/>
      <c r="N28" s="10"/>
      <c r="O28" s="10"/>
      <c r="P28" s="6"/>
      <c r="Q28" s="6"/>
      <c r="R28" s="10"/>
      <c r="S28" s="6"/>
    </row>
    <row r="29" customFormat="false" ht="14.25" hidden="false" customHeight="false" outlineLevel="0" collapsed="false">
      <c r="A29" s="5" t="s">
        <v>34</v>
      </c>
      <c r="B29" s="6"/>
      <c r="C29" s="6"/>
      <c r="D29" s="6"/>
      <c r="E29" s="7"/>
      <c r="F29" s="7"/>
      <c r="G29" s="8" t="n">
        <f aca="false">IFERROR(E29+F29,"")</f>
        <v>0</v>
      </c>
      <c r="H29" s="7"/>
      <c r="I29" s="9" t="n">
        <f aca="false">IFERROR(H29/G29,0)</f>
        <v>0</v>
      </c>
      <c r="J29" s="7"/>
      <c r="K29" s="8" t="n">
        <f aca="false">IFERROR(H29-J29,"")</f>
        <v>0</v>
      </c>
      <c r="L29" s="8" t="n">
        <f aca="false">IFERROR(G29-H29,"")</f>
        <v>0</v>
      </c>
      <c r="M29" s="6"/>
      <c r="N29" s="10"/>
      <c r="O29" s="10"/>
      <c r="P29" s="6"/>
      <c r="Q29" s="6"/>
      <c r="R29" s="10"/>
      <c r="S29" s="6"/>
    </row>
    <row r="30" customFormat="false" ht="14.25" hidden="false" customHeight="false" outlineLevel="0" collapsed="false">
      <c r="A30" s="5" t="s">
        <v>35</v>
      </c>
      <c r="B30" s="6"/>
      <c r="C30" s="6"/>
      <c r="D30" s="6"/>
      <c r="E30" s="7"/>
      <c r="F30" s="7"/>
      <c r="G30" s="8" t="n">
        <f aca="false">IFERROR(E30+F30,"")</f>
        <v>0</v>
      </c>
      <c r="H30" s="7"/>
      <c r="I30" s="9" t="n">
        <f aca="false">IFERROR(H30/G30,0)</f>
        <v>0</v>
      </c>
      <c r="J30" s="7"/>
      <c r="K30" s="8" t="n">
        <f aca="false">IFERROR(H30-J30,"")</f>
        <v>0</v>
      </c>
      <c r="L30" s="8" t="n">
        <f aca="false">IFERROR(G30-H30,"")</f>
        <v>0</v>
      </c>
      <c r="M30" s="6"/>
      <c r="N30" s="10"/>
      <c r="O30" s="10"/>
      <c r="P30" s="6"/>
      <c r="Q30" s="6"/>
      <c r="R30" s="10"/>
      <c r="S30" s="6"/>
    </row>
    <row r="31" customFormat="false" ht="14.25" hidden="false" customHeight="false" outlineLevel="0" collapsed="false">
      <c r="A31" s="5" t="s">
        <v>36</v>
      </c>
      <c r="B31" s="6"/>
      <c r="C31" s="6"/>
      <c r="D31" s="6"/>
      <c r="E31" s="7"/>
      <c r="F31" s="7"/>
      <c r="G31" s="8" t="n">
        <f aca="false">IFERROR(E31+F31,"")</f>
        <v>0</v>
      </c>
      <c r="H31" s="7"/>
      <c r="I31" s="9" t="n">
        <f aca="false">IFERROR(H31/G31,0)</f>
        <v>0</v>
      </c>
      <c r="J31" s="7"/>
      <c r="K31" s="8" t="n">
        <f aca="false">IFERROR(H31-J31,"")</f>
        <v>0</v>
      </c>
      <c r="L31" s="8" t="n">
        <f aca="false">IFERROR(G31-H31,"")</f>
        <v>0</v>
      </c>
      <c r="M31" s="6"/>
      <c r="N31" s="10"/>
      <c r="O31" s="10"/>
      <c r="P31" s="6"/>
      <c r="Q31" s="6"/>
      <c r="R31" s="10"/>
      <c r="S31" s="6"/>
    </row>
    <row r="32" customFormat="false" ht="14.25" hidden="false" customHeight="false" outlineLevel="0" collapsed="false">
      <c r="A32" s="5" t="s">
        <v>37</v>
      </c>
      <c r="B32" s="6"/>
      <c r="C32" s="6"/>
      <c r="D32" s="6"/>
      <c r="E32" s="7"/>
      <c r="F32" s="7"/>
      <c r="G32" s="8" t="n">
        <f aca="false">IFERROR(E32+F32,"")</f>
        <v>0</v>
      </c>
      <c r="H32" s="7"/>
      <c r="I32" s="9" t="n">
        <f aca="false">IFERROR(H32/G32,0)</f>
        <v>0</v>
      </c>
      <c r="J32" s="7"/>
      <c r="K32" s="8" t="n">
        <f aca="false">IFERROR(H32-J32,"")</f>
        <v>0</v>
      </c>
      <c r="L32" s="8" t="n">
        <f aca="false">IFERROR(G32-H32,"")</f>
        <v>0</v>
      </c>
      <c r="M32" s="6"/>
      <c r="N32" s="10"/>
      <c r="O32" s="10"/>
      <c r="P32" s="6"/>
      <c r="Q32" s="6"/>
      <c r="R32" s="10"/>
      <c r="S32" s="6"/>
    </row>
    <row r="33" customFormat="false" ht="14.25" hidden="false" customHeight="false" outlineLevel="0" collapsed="false">
      <c r="A33" s="5" t="s">
        <v>38</v>
      </c>
      <c r="B33" s="6"/>
      <c r="C33" s="6"/>
      <c r="D33" s="6"/>
      <c r="E33" s="7"/>
      <c r="F33" s="7"/>
      <c r="G33" s="8" t="n">
        <f aca="false">IFERROR(E33+F33,"")</f>
        <v>0</v>
      </c>
      <c r="H33" s="7"/>
      <c r="I33" s="9" t="n">
        <f aca="false">IFERROR(H33/G33,0)</f>
        <v>0</v>
      </c>
      <c r="J33" s="7"/>
      <c r="K33" s="8" t="n">
        <f aca="false">IFERROR(H33-J33,"")</f>
        <v>0</v>
      </c>
      <c r="L33" s="8" t="n">
        <f aca="false">IFERROR(G33-H33,"")</f>
        <v>0</v>
      </c>
      <c r="M33" s="6"/>
      <c r="N33" s="10"/>
      <c r="O33" s="10"/>
      <c r="P33" s="6"/>
      <c r="Q33" s="6"/>
      <c r="R33" s="10"/>
      <c r="S33" s="6"/>
    </row>
    <row r="35" customFormat="false" ht="14.25" hidden="false" customHeight="false" outlineLevel="0" collapsed="false">
      <c r="A35" s="12" t="s">
        <v>39</v>
      </c>
      <c r="B35" s="13" t="s">
        <v>40</v>
      </c>
      <c r="C35" s="14" t="n">
        <f aca="false">COUNTA(B4:B33)</f>
        <v>13</v>
      </c>
      <c r="D35" s="15"/>
      <c r="E35" s="15"/>
      <c r="N35" s="12" t="s">
        <v>41</v>
      </c>
    </row>
    <row r="36" customFormat="false" ht="14.25" hidden="false" customHeight="false" outlineLevel="0" collapsed="false">
      <c r="B36" s="16" t="s">
        <v>42</v>
      </c>
      <c r="C36" s="17" t="e">
        <f aca="false">SUM(G4:G33)</f>
        <v>#REF!</v>
      </c>
      <c r="N36" s="18" t="s">
        <v>43</v>
      </c>
      <c r="O36" s="19"/>
    </row>
    <row r="37" customFormat="false" ht="14.25" hidden="false" customHeight="false" outlineLevel="0" collapsed="false">
      <c r="B37" s="16" t="s">
        <v>44</v>
      </c>
      <c r="C37" s="17" t="e">
        <f aca="false">SUM(H4:H33)</f>
        <v>#REF!</v>
      </c>
      <c r="N37" s="18" t="s">
        <v>45</v>
      </c>
      <c r="O37" s="20"/>
    </row>
    <row r="38" customFormat="false" ht="14.25" hidden="false" customHeight="false" outlineLevel="0" collapsed="false">
      <c r="B38" s="16" t="s">
        <v>46</v>
      </c>
      <c r="C38" s="17" t="e">
        <f aca="false">SUM(J4:J33)</f>
        <v>#REF!</v>
      </c>
      <c r="N38" s="18" t="s">
        <v>47</v>
      </c>
      <c r="O38" s="21"/>
    </row>
    <row r="39" customFormat="false" ht="14.25" hidden="false" customHeight="false" outlineLevel="0" collapsed="false">
      <c r="B39" s="16" t="s">
        <v>48</v>
      </c>
      <c r="C39" s="17" t="e">
        <f aca="false">SUM(L4:L33)</f>
        <v>#REF!</v>
      </c>
      <c r="N39" s="18" t="s">
        <v>49</v>
      </c>
      <c r="O39" s="22"/>
    </row>
    <row r="40" customFormat="false" ht="14.25" hidden="false" customHeight="false" outlineLevel="0" collapsed="false">
      <c r="N40" s="0" t="s">
        <v>50</v>
      </c>
      <c r="O40" s="23"/>
    </row>
  </sheetData>
  <mergeCells count="3">
    <mergeCell ref="A1:F1"/>
    <mergeCell ref="G1:M1"/>
    <mergeCell ref="N1:S1"/>
  </mergeCells>
  <conditionalFormatting sqref="P4:P33">
    <cfRule type="expression" priority="2" aboveAverage="0" equalAverage="0" bottom="0" percent="0" rank="0" text="" dxfId="8">
      <formula>$P4="Préparation"</formula>
    </cfRule>
    <cfRule type="expression" priority="3" aboveAverage="0" equalAverage="0" bottom="0" percent="0" rank="0" text="" dxfId="9">
      <formula>$P4="En cours"</formula>
    </cfRule>
    <cfRule type="expression" priority="4" aboveAverage="0" equalAverage="0" bottom="0" percent="0" rank="0" text="" dxfId="10">
      <formula>$P4="OPR à planifier"</formula>
    </cfRule>
    <cfRule type="expression" priority="5" aboveAverage="0" equalAverage="0" bottom="0" percent="0" rank="0" text="" dxfId="11">
      <formula>$P4="OPR réalisée"</formula>
    </cfRule>
    <cfRule type="expression" priority="6" aboveAverage="0" equalAverage="0" bottom="0" percent="0" rank="0" text="" dxfId="12">
      <formula>$P4="Clôturé"</formula>
    </cfRule>
  </conditionalFormatting>
  <conditionalFormatting sqref="Q4:Q33">
    <cfRule type="expression" priority="7" aboveAverage="0" equalAverage="0" bottom="0" percent="0" rank="0" text="" dxfId="13">
      <formula>$Q4="Haute"</formula>
    </cfRule>
    <cfRule type="expression" priority="8" aboveAverage="0" equalAverage="0" bottom="0" percent="0" rank="0" text="" dxfId="14">
      <formula>$Q4="Moyenne"</formula>
    </cfRule>
    <cfRule type="expression" priority="9" aboveAverage="0" equalAverage="0" bottom="0" percent="0" rank="0" text="" dxfId="15">
      <formula>$Q4="Basse"</formula>
    </cfRule>
  </conditionalFormatting>
  <conditionalFormatting sqref="N4:N33">
    <cfRule type="expression" priority="10" aboveAverage="0" equalAverage="0" bottom="0" percent="0" rank="0" text="" dxfId="16">
      <formula>AND($N4&lt;TODAY(),$O4="",$P4&lt;&gt;"Clôturé")</formula>
    </cfRule>
  </conditionalFormatting>
  <dataValidations count="3">
    <dataValidation allowBlank="true" errorStyle="stop" operator="between" showDropDown="false" showErrorMessage="false" showInputMessage="false" sqref="P4:P33" type="list">
      <formula1>ListeStatuts</formula1>
      <formula2>0</formula2>
    </dataValidation>
    <dataValidation allowBlank="true" errorStyle="stop" operator="between" showDropDown="false" showErrorMessage="false" showInputMessage="false" sqref="Q4:Q33" type="list">
      <formula1>ListePriorites</formula1>
      <formula2>0</formula2>
    </dataValidation>
    <dataValidation allowBlank="true" errorStyle="stop" operator="between" showDropDown="false" showErrorMessage="false" showInputMessage="false" sqref="D4:D5 D17:D33" type="list">
      <formula1>ListeConducteurs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B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N39" activeCellId="0" sqref="N39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13" min="6" style="0" width="16"/>
    <col collapsed="false" customWidth="true" hidden="false" outlineLevel="0" max="14" min="14" style="0" width="18"/>
    <col collapsed="false" customWidth="true" hidden="false" outlineLevel="0" max="17" min="15" style="0" width="14"/>
    <col collapsed="false" customWidth="true" hidden="false" outlineLevel="0" max="18" min="18" style="0" width="12"/>
  </cols>
  <sheetData>
    <row r="1" customFormat="false" ht="17.35" hidden="false" customHeight="true" outlineLevel="0" collapsed="false">
      <c r="B1" s="24" t="s">
        <v>51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14.25" hidden="false" customHeight="true" outlineLevel="0" collapsed="false">
      <c r="B2" s="25" t="s">
        <v>52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4" customFormat="false" ht="14.25" hidden="false" customHeight="true" outlineLevel="0" collapsed="false">
      <c r="B4" s="26" t="s">
        <v>53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customFormat="false" ht="35.5" hidden="false" customHeight="false" outlineLevel="0" collapsed="false"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7" t="s">
        <v>8</v>
      </c>
      <c r="H5" s="27" t="s">
        <v>9</v>
      </c>
      <c r="I5" s="27" t="s">
        <v>10</v>
      </c>
      <c r="J5" s="27" t="s">
        <v>11</v>
      </c>
      <c r="K5" s="27" t="s">
        <v>12</v>
      </c>
      <c r="L5" s="27" t="s">
        <v>13</v>
      </c>
      <c r="M5" s="27" t="s">
        <v>14</v>
      </c>
      <c r="N5" s="27" t="s">
        <v>54</v>
      </c>
      <c r="O5" s="27" t="s">
        <v>16</v>
      </c>
      <c r="P5" s="27" t="s">
        <v>17</v>
      </c>
      <c r="Q5" s="27" t="s">
        <v>18</v>
      </c>
      <c r="R5" s="27" t="s">
        <v>19</v>
      </c>
    </row>
    <row r="6" customFormat="false" ht="46.95" hidden="false" customHeight="false" outlineLevel="0" collapsed="false">
      <c r="B6" s="28" t="str">
        <f aca="false">B10</f>
        <v>CRF</v>
      </c>
      <c r="C6" s="29" t="str">
        <f aca="false">D10</f>
        <v>CRF</v>
      </c>
      <c r="D6" s="29" t="str">
        <f aca="false">B12</f>
        <v>6/8 rue Entroncamento 94350 Villiers-sur-Marne</v>
      </c>
      <c r="E6" s="29" t="str">
        <f aca="false">J10</f>
        <v>Mohsan MAHMOOD</v>
      </c>
      <c r="F6" s="30" t="n">
        <f aca="false">B16</f>
        <v>929613.5</v>
      </c>
      <c r="G6" s="30" t="n">
        <f aca="false">D16</f>
        <v>88498.82</v>
      </c>
      <c r="H6" s="31" t="n">
        <f aca="false">IFERROR(F6+G6,"")</f>
        <v>1018112.32</v>
      </c>
      <c r="I6" s="31" t="n">
        <f aca="false">SUM(F21:F34)</f>
        <v>900789.04</v>
      </c>
      <c r="J6" s="32" t="n">
        <f aca="false">IFERROR(I6/H6,0)</f>
        <v>0.884763912885368</v>
      </c>
      <c r="K6" s="31" t="n">
        <f aca="false">SUM(N39:N53)</f>
        <v>613254.33</v>
      </c>
      <c r="L6" s="31" t="n">
        <f aca="false">IFERROR(I6-K6,"")</f>
        <v>287534.71</v>
      </c>
      <c r="M6" s="31" t="n">
        <f aca="false">IFERROR(H6-I6,"")</f>
        <v>117323.28</v>
      </c>
      <c r="N6" s="29" t="n">
        <f aca="false">C57</f>
        <v>0</v>
      </c>
      <c r="O6" s="33" t="n">
        <f aca="false">N10</f>
        <v>0</v>
      </c>
      <c r="P6" s="33" t="n">
        <f aca="false">P10</f>
        <v>0</v>
      </c>
      <c r="Q6" s="28" t="str">
        <f aca="false">N12</f>
        <v>En cours</v>
      </c>
      <c r="R6" s="28" t="n">
        <f aca="false">P12</f>
        <v>0</v>
      </c>
    </row>
    <row r="8" customFormat="false" ht="14.25" hidden="false" customHeight="true" outlineLevel="0" collapsed="false">
      <c r="B8" s="34" t="s">
        <v>55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customFormat="false" ht="14.25" hidden="false" customHeight="false" outlineLevel="0" collapsed="false">
      <c r="B9" s="35" t="s">
        <v>56</v>
      </c>
      <c r="D9" s="35" t="s">
        <v>4</v>
      </c>
      <c r="J9" s="35" t="s">
        <v>6</v>
      </c>
      <c r="N9" s="35" t="s">
        <v>16</v>
      </c>
      <c r="P9" s="35" t="s">
        <v>17</v>
      </c>
    </row>
    <row r="10" customFormat="false" ht="14.25" hidden="false" customHeight="true" outlineLevel="0" collapsed="false">
      <c r="B10" s="36" t="s">
        <v>57</v>
      </c>
      <c r="D10" s="36" t="s">
        <v>57</v>
      </c>
      <c r="E10" s="36"/>
      <c r="F10" s="36"/>
      <c r="G10" s="36"/>
      <c r="H10" s="36"/>
      <c r="J10" s="36" t="s">
        <v>58</v>
      </c>
      <c r="K10" s="36"/>
      <c r="L10" s="36"/>
      <c r="N10" s="37"/>
      <c r="P10" s="37"/>
    </row>
    <row r="11" customFormat="false" ht="14.25" hidden="false" customHeight="false" outlineLevel="0" collapsed="false">
      <c r="B11" s="35" t="s">
        <v>59</v>
      </c>
      <c r="N11" s="35" t="s">
        <v>60</v>
      </c>
      <c r="P11" s="35" t="s">
        <v>19</v>
      </c>
    </row>
    <row r="12" customFormat="false" ht="14.25" hidden="false" customHeight="true" outlineLevel="0" collapsed="false">
      <c r="B12" s="36" t="s">
        <v>61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N12" s="36" t="s">
        <v>45</v>
      </c>
      <c r="P12" s="36"/>
    </row>
    <row r="14" customFormat="false" ht="14.25" hidden="false" customHeight="true" outlineLevel="0" collapsed="false">
      <c r="B14" s="34" t="s">
        <v>62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customFormat="false" ht="14.25" hidden="false" customHeight="false" outlineLevel="0" collapsed="false">
      <c r="B15" s="35" t="s">
        <v>7</v>
      </c>
      <c r="D15" s="35" t="s">
        <v>8</v>
      </c>
      <c r="F15" s="35" t="s">
        <v>9</v>
      </c>
      <c r="H15" s="35" t="s">
        <v>63</v>
      </c>
      <c r="J15" s="35" t="s">
        <v>64</v>
      </c>
    </row>
    <row r="16" customFormat="false" ht="14.25" hidden="false" customHeight="false" outlineLevel="0" collapsed="false">
      <c r="B16" s="38" t="n">
        <v>929613.5</v>
      </c>
      <c r="D16" s="38" t="n">
        <v>88498.82</v>
      </c>
      <c r="F16" s="39" t="n">
        <f aca="false">IFERROR(B16+D16,"")</f>
        <v>1018112.32</v>
      </c>
      <c r="H16" s="38"/>
      <c r="J16" s="36"/>
      <c r="K16" s="36"/>
      <c r="L16" s="36"/>
      <c r="M16" s="36"/>
      <c r="N16" s="36"/>
      <c r="O16" s="36"/>
      <c r="P16" s="36"/>
      <c r="Q16" s="36"/>
      <c r="R16" s="36"/>
    </row>
    <row r="18" customFormat="false" ht="14.25" hidden="false" customHeight="true" outlineLevel="0" collapsed="false">
      <c r="B18" s="34" t="s">
        <v>65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20" customFormat="false" ht="14.25" hidden="false" customHeight="true" outlineLevel="0" collapsed="false">
      <c r="B20" s="27" t="s">
        <v>66</v>
      </c>
      <c r="C20" s="27" t="s">
        <v>67</v>
      </c>
      <c r="D20" s="40" t="s">
        <v>68</v>
      </c>
      <c r="E20" s="40"/>
      <c r="F20" s="40" t="s">
        <v>69</v>
      </c>
      <c r="G20" s="40"/>
      <c r="H20" s="40" t="s">
        <v>70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1" customFormat="false" ht="14.25" hidden="false" customHeight="true" outlineLevel="0" collapsed="false">
      <c r="B21" s="41" t="n">
        <v>45800</v>
      </c>
      <c r="C21" s="42" t="n">
        <v>1</v>
      </c>
      <c r="D21" s="43" t="s">
        <v>71</v>
      </c>
      <c r="E21" s="43"/>
      <c r="F21" s="44" t="n">
        <v>55240.18</v>
      </c>
      <c r="G21" s="44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</row>
    <row r="22" customFormat="false" ht="14.25" hidden="false" customHeight="true" outlineLevel="0" collapsed="false">
      <c r="B22" s="41" t="n">
        <v>45831</v>
      </c>
      <c r="C22" s="42" t="n">
        <v>2</v>
      </c>
      <c r="D22" s="43" t="s">
        <v>72</v>
      </c>
      <c r="E22" s="43"/>
      <c r="F22" s="44" t="n">
        <v>84978.08</v>
      </c>
      <c r="G22" s="44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  <row r="23" customFormat="false" ht="14.25" hidden="false" customHeight="true" outlineLevel="0" collapsed="false">
      <c r="B23" s="41" t="n">
        <v>45859</v>
      </c>
      <c r="C23" s="42" t="n">
        <v>3</v>
      </c>
      <c r="D23" s="43" t="s">
        <v>73</v>
      </c>
      <c r="E23" s="43"/>
      <c r="F23" s="44" t="n">
        <v>129012.13</v>
      </c>
      <c r="G23" s="44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</row>
    <row r="24" customFormat="false" ht="14.25" hidden="false" customHeight="true" outlineLevel="0" collapsed="false">
      <c r="B24" s="41" t="n">
        <v>45898</v>
      </c>
      <c r="C24" s="42" t="n">
        <v>4</v>
      </c>
      <c r="D24" s="43" t="s">
        <v>74</v>
      </c>
      <c r="E24" s="43"/>
      <c r="F24" s="44" t="n">
        <v>65246.58</v>
      </c>
      <c r="G24" s="44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</row>
    <row r="25" customFormat="false" ht="14.25" hidden="false" customHeight="true" outlineLevel="0" collapsed="false">
      <c r="B25" s="41" t="n">
        <v>45929</v>
      </c>
      <c r="C25" s="42" t="n">
        <v>5</v>
      </c>
      <c r="D25" s="43" t="s">
        <v>75</v>
      </c>
      <c r="E25" s="43"/>
      <c r="F25" s="44" t="n">
        <v>56104.41</v>
      </c>
      <c r="G25" s="44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customFormat="false" ht="14.25" hidden="false" customHeight="true" outlineLevel="0" collapsed="false">
      <c r="B26" s="41" t="n">
        <v>45966</v>
      </c>
      <c r="C26" s="42" t="n">
        <v>6</v>
      </c>
      <c r="D26" s="43" t="s">
        <v>76</v>
      </c>
      <c r="E26" s="43"/>
      <c r="F26" s="44" t="n">
        <v>75411.35</v>
      </c>
      <c r="G26" s="44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</row>
    <row r="27" customFormat="false" ht="14.25" hidden="false" customHeight="true" outlineLevel="0" collapsed="false">
      <c r="B27" s="41" t="n">
        <v>45996</v>
      </c>
      <c r="C27" s="42" t="n">
        <v>7</v>
      </c>
      <c r="D27" s="43" t="s">
        <v>77</v>
      </c>
      <c r="E27" s="43"/>
      <c r="F27" s="44" t="n">
        <v>61478.68</v>
      </c>
      <c r="G27" s="44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customFormat="false" ht="14.25" hidden="false" customHeight="true" outlineLevel="0" collapsed="false">
      <c r="B28" s="41" t="n">
        <v>46017</v>
      </c>
      <c r="C28" s="42" t="n">
        <v>8</v>
      </c>
      <c r="D28" s="43" t="s">
        <v>78</v>
      </c>
      <c r="E28" s="43"/>
      <c r="F28" s="44" t="n">
        <v>107726.24</v>
      </c>
      <c r="G28" s="44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</row>
    <row r="29" customFormat="false" ht="14.25" hidden="false" customHeight="true" outlineLevel="0" collapsed="false">
      <c r="B29" s="41" t="n">
        <v>46043</v>
      </c>
      <c r="C29" s="42" t="n">
        <v>9</v>
      </c>
      <c r="D29" s="43" t="s">
        <v>79</v>
      </c>
      <c r="E29" s="43"/>
      <c r="F29" s="44" t="n">
        <v>71211.91</v>
      </c>
      <c r="G29" s="44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</row>
    <row r="30" customFormat="false" ht="14.25" hidden="false" customHeight="true" outlineLevel="0" collapsed="false">
      <c r="B30" s="41" t="n">
        <v>46073</v>
      </c>
      <c r="C30" s="42" t="n">
        <v>10</v>
      </c>
      <c r="D30" s="43" t="s">
        <v>80</v>
      </c>
      <c r="E30" s="43"/>
      <c r="F30" s="44" t="n">
        <v>107760.65</v>
      </c>
      <c r="G30" s="44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  <row r="31" customFormat="false" ht="14.25" hidden="false" customHeight="true" outlineLevel="0" collapsed="false">
      <c r="B31" s="41" t="n">
        <v>46114</v>
      </c>
      <c r="C31" s="42" t="n">
        <v>11</v>
      </c>
      <c r="D31" s="43" t="s">
        <v>81</v>
      </c>
      <c r="E31" s="43"/>
      <c r="F31" s="44" t="n">
        <v>86618.83</v>
      </c>
      <c r="G31" s="44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</row>
    <row r="32" customFormat="false" ht="14.25" hidden="false" customHeight="false" outlineLevel="0" collapsed="false">
      <c r="B32" s="41"/>
      <c r="C32" s="42"/>
      <c r="D32" s="43"/>
      <c r="E32" s="43"/>
      <c r="F32" s="44"/>
      <c r="G32" s="44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customFormat="false" ht="14.25" hidden="false" customHeight="false" outlineLevel="0" collapsed="false">
      <c r="B33" s="41"/>
      <c r="C33" s="42"/>
      <c r="D33" s="43"/>
      <c r="E33" s="43"/>
      <c r="F33" s="44"/>
      <c r="G33" s="44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customFormat="false" ht="14.25" hidden="false" customHeight="false" outlineLevel="0" collapsed="false">
      <c r="B34" s="41"/>
      <c r="C34" s="42"/>
      <c r="D34" s="43"/>
      <c r="E34" s="43"/>
      <c r="F34" s="44"/>
      <c r="G34" s="44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customFormat="false" ht="14.25" hidden="false" customHeight="false" outlineLevel="0" collapsed="false">
      <c r="D35" s="45" t="s">
        <v>82</v>
      </c>
      <c r="E35" s="45"/>
      <c r="F35" s="46" t="n">
        <f aca="false">SUM(F21:F34)</f>
        <v>900789.04</v>
      </c>
      <c r="G35" s="46"/>
      <c r="H35" s="47" t="s">
        <v>83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7" customFormat="false" ht="14.25" hidden="false" customHeight="true" outlineLevel="0" collapsed="false">
      <c r="B37" s="34" t="s">
        <v>84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customFormat="false" ht="14.25" hidden="false" customHeight="true" outlineLevel="0" collapsed="false">
      <c r="B38" s="27" t="s">
        <v>66</v>
      </c>
      <c r="C38" s="40" t="s">
        <v>85</v>
      </c>
      <c r="D38" s="40"/>
      <c r="E38" s="40"/>
      <c r="F38" s="40" t="s">
        <v>86</v>
      </c>
      <c r="G38" s="40"/>
      <c r="H38" s="40" t="s">
        <v>87</v>
      </c>
      <c r="I38" s="40"/>
      <c r="J38" s="40"/>
      <c r="K38" s="40"/>
      <c r="L38" s="40"/>
      <c r="M38" s="40"/>
      <c r="N38" s="40" t="s">
        <v>88</v>
      </c>
      <c r="O38" s="40"/>
      <c r="P38" s="40" t="s">
        <v>89</v>
      </c>
      <c r="Q38" s="40"/>
      <c r="R38" s="40"/>
    </row>
    <row r="39" customFormat="false" ht="14.25" hidden="false" customHeight="true" outlineLevel="0" collapsed="false">
      <c r="B39" s="41" t="n">
        <v>46129</v>
      </c>
      <c r="C39" s="48" t="s">
        <v>90</v>
      </c>
      <c r="D39" s="48"/>
      <c r="E39" s="48"/>
      <c r="F39" s="48" t="s">
        <v>91</v>
      </c>
      <c r="G39" s="48"/>
      <c r="H39" s="43" t="s">
        <v>92</v>
      </c>
      <c r="I39" s="43"/>
      <c r="J39" s="43"/>
      <c r="K39" s="43"/>
      <c r="L39" s="43"/>
      <c r="M39" s="43"/>
      <c r="N39" s="44" t="n">
        <v>41663.61</v>
      </c>
      <c r="O39" s="44"/>
      <c r="P39" s="43"/>
      <c r="Q39" s="43"/>
      <c r="R39" s="43"/>
    </row>
    <row r="40" customFormat="false" ht="14.25" hidden="false" customHeight="true" outlineLevel="0" collapsed="false">
      <c r="B40" s="41" t="n">
        <v>46129</v>
      </c>
      <c r="C40" s="48" t="s">
        <v>90</v>
      </c>
      <c r="D40" s="48"/>
      <c r="E40" s="48"/>
      <c r="F40" s="48" t="s">
        <v>91</v>
      </c>
      <c r="G40" s="48"/>
      <c r="H40" s="43" t="s">
        <v>93</v>
      </c>
      <c r="I40" s="43"/>
      <c r="J40" s="43"/>
      <c r="K40" s="43"/>
      <c r="L40" s="43"/>
      <c r="M40" s="43"/>
      <c r="N40" s="44" t="n">
        <f aca="false">54478.35+1643.93+2096.69</f>
        <v>58218.97</v>
      </c>
      <c r="O40" s="44"/>
      <c r="P40" s="43"/>
      <c r="Q40" s="43"/>
      <c r="R40" s="43"/>
    </row>
    <row r="41" customFormat="false" ht="14.25" hidden="false" customHeight="true" outlineLevel="0" collapsed="false">
      <c r="B41" s="41" t="n">
        <v>46129</v>
      </c>
      <c r="C41" s="48" t="s">
        <v>90</v>
      </c>
      <c r="D41" s="48"/>
      <c r="E41" s="48"/>
      <c r="F41" s="48" t="s">
        <v>91</v>
      </c>
      <c r="G41" s="48"/>
      <c r="H41" s="43" t="s">
        <v>94</v>
      </c>
      <c r="I41" s="43"/>
      <c r="J41" s="43"/>
      <c r="K41" s="43"/>
      <c r="L41" s="43"/>
      <c r="M41" s="43"/>
      <c r="N41" s="44" t="n">
        <v>281256.96</v>
      </c>
      <c r="O41" s="44"/>
      <c r="P41" s="43"/>
      <c r="Q41" s="43"/>
      <c r="R41" s="43"/>
    </row>
    <row r="42" customFormat="false" ht="14.25" hidden="false" customHeight="true" outlineLevel="0" collapsed="false">
      <c r="B42" s="41" t="n">
        <v>46129</v>
      </c>
      <c r="C42" s="48" t="s">
        <v>95</v>
      </c>
      <c r="D42" s="48"/>
      <c r="E42" s="48"/>
      <c r="F42" s="48" t="s">
        <v>85</v>
      </c>
      <c r="G42" s="48"/>
      <c r="H42" s="43" t="s">
        <v>96</v>
      </c>
      <c r="I42" s="43"/>
      <c r="J42" s="43"/>
      <c r="K42" s="43"/>
      <c r="L42" s="43"/>
      <c r="M42" s="43"/>
      <c r="N42" s="44" t="n">
        <v>61366.99</v>
      </c>
      <c r="O42" s="44"/>
      <c r="P42" s="43"/>
      <c r="Q42" s="43"/>
      <c r="R42" s="43"/>
    </row>
    <row r="43" customFormat="false" ht="14.25" hidden="false" customHeight="true" outlineLevel="0" collapsed="false">
      <c r="B43" s="41" t="n">
        <v>46129</v>
      </c>
      <c r="C43" s="48" t="s">
        <v>97</v>
      </c>
      <c r="D43" s="48"/>
      <c r="E43" s="48"/>
      <c r="F43" s="48" t="s">
        <v>91</v>
      </c>
      <c r="G43" s="48"/>
      <c r="H43" s="43" t="s">
        <v>98</v>
      </c>
      <c r="I43" s="43"/>
      <c r="J43" s="43"/>
      <c r="K43" s="43"/>
      <c r="L43" s="43"/>
      <c r="M43" s="43"/>
      <c r="N43" s="44" t="n">
        <v>48742</v>
      </c>
      <c r="O43" s="44"/>
      <c r="P43" s="43"/>
      <c r="Q43" s="43"/>
      <c r="R43" s="43"/>
    </row>
    <row r="44" customFormat="false" ht="14.25" hidden="false" customHeight="true" outlineLevel="0" collapsed="false">
      <c r="B44" s="41" t="n">
        <v>46129</v>
      </c>
      <c r="C44" s="48" t="s">
        <v>99</v>
      </c>
      <c r="D44" s="48"/>
      <c r="E44" s="48"/>
      <c r="F44" s="48" t="s">
        <v>85</v>
      </c>
      <c r="G44" s="48"/>
      <c r="H44" s="43" t="s">
        <v>100</v>
      </c>
      <c r="I44" s="43"/>
      <c r="J44" s="43"/>
      <c r="K44" s="43"/>
      <c r="L44" s="43"/>
      <c r="M44" s="43"/>
      <c r="N44" s="44" t="n">
        <v>5850</v>
      </c>
      <c r="O44" s="44"/>
      <c r="P44" s="43"/>
      <c r="Q44" s="43"/>
      <c r="R44" s="43"/>
    </row>
    <row r="45" customFormat="false" ht="14.25" hidden="false" customHeight="true" outlineLevel="0" collapsed="false">
      <c r="B45" s="41" t="n">
        <v>46129</v>
      </c>
      <c r="C45" s="48" t="s">
        <v>101</v>
      </c>
      <c r="D45" s="48"/>
      <c r="E45" s="48"/>
      <c r="F45" s="48" t="s">
        <v>85</v>
      </c>
      <c r="G45" s="48"/>
      <c r="H45" s="43" t="s">
        <v>100</v>
      </c>
      <c r="I45" s="43"/>
      <c r="J45" s="43"/>
      <c r="K45" s="43"/>
      <c r="L45" s="43"/>
      <c r="M45" s="43"/>
      <c r="N45" s="44" t="n">
        <v>2900</v>
      </c>
      <c r="O45" s="44"/>
      <c r="P45" s="43"/>
      <c r="Q45" s="43"/>
      <c r="R45" s="43"/>
    </row>
    <row r="46" customFormat="false" ht="14.25" hidden="false" customHeight="true" outlineLevel="0" collapsed="false">
      <c r="B46" s="41" t="n">
        <v>46129</v>
      </c>
      <c r="C46" s="48" t="s">
        <v>102</v>
      </c>
      <c r="D46" s="48"/>
      <c r="E46" s="48"/>
      <c r="F46" s="48" t="s">
        <v>85</v>
      </c>
      <c r="G46" s="48"/>
      <c r="H46" s="43" t="s">
        <v>103</v>
      </c>
      <c r="I46" s="43"/>
      <c r="J46" s="43"/>
      <c r="K46" s="43"/>
      <c r="L46" s="43"/>
      <c r="M46" s="43"/>
      <c r="N46" s="44" t="n">
        <v>38844</v>
      </c>
      <c r="O46" s="44"/>
      <c r="P46" s="43"/>
      <c r="Q46" s="43"/>
      <c r="R46" s="43"/>
    </row>
    <row r="47" customFormat="false" ht="14.25" hidden="false" customHeight="true" outlineLevel="0" collapsed="false">
      <c r="B47" s="41" t="n">
        <v>46129</v>
      </c>
      <c r="C47" s="48" t="s">
        <v>104</v>
      </c>
      <c r="D47" s="48"/>
      <c r="E47" s="48"/>
      <c r="F47" s="48" t="s">
        <v>85</v>
      </c>
      <c r="G47" s="48"/>
      <c r="H47" s="43" t="s">
        <v>105</v>
      </c>
      <c r="I47" s="43"/>
      <c r="J47" s="43"/>
      <c r="K47" s="43"/>
      <c r="L47" s="43"/>
      <c r="M47" s="43"/>
      <c r="N47" s="44" t="n">
        <v>19000</v>
      </c>
      <c r="O47" s="44"/>
      <c r="P47" s="43"/>
      <c r="Q47" s="43"/>
      <c r="R47" s="43"/>
    </row>
    <row r="48" customFormat="false" ht="14.25" hidden="false" customHeight="true" outlineLevel="0" collapsed="false">
      <c r="B48" s="41" t="n">
        <v>46129</v>
      </c>
      <c r="C48" s="48" t="s">
        <v>106</v>
      </c>
      <c r="D48" s="48"/>
      <c r="E48" s="48"/>
      <c r="F48" s="48" t="s">
        <v>85</v>
      </c>
      <c r="G48" s="48"/>
      <c r="H48" s="43" t="s">
        <v>107</v>
      </c>
      <c r="I48" s="43"/>
      <c r="J48" s="43"/>
      <c r="K48" s="43"/>
      <c r="L48" s="43"/>
      <c r="M48" s="43"/>
      <c r="N48" s="44" t="n">
        <v>200</v>
      </c>
      <c r="O48" s="44"/>
      <c r="P48" s="43"/>
      <c r="Q48" s="43"/>
      <c r="R48" s="43"/>
    </row>
    <row r="49" customFormat="false" ht="14.25" hidden="false" customHeight="true" outlineLevel="0" collapsed="false">
      <c r="B49" s="41" t="n">
        <v>46129</v>
      </c>
      <c r="C49" s="48" t="s">
        <v>108</v>
      </c>
      <c r="D49" s="48"/>
      <c r="E49" s="48"/>
      <c r="F49" s="48" t="s">
        <v>85</v>
      </c>
      <c r="G49" s="48"/>
      <c r="H49" s="43" t="s">
        <v>107</v>
      </c>
      <c r="I49" s="43"/>
      <c r="J49" s="43"/>
      <c r="K49" s="43"/>
      <c r="L49" s="43"/>
      <c r="M49" s="43"/>
      <c r="N49" s="44" t="n">
        <v>265</v>
      </c>
      <c r="O49" s="44"/>
      <c r="P49" s="43"/>
      <c r="Q49" s="43"/>
      <c r="R49" s="43"/>
    </row>
    <row r="50" customFormat="false" ht="14.25" hidden="false" customHeight="true" outlineLevel="0" collapsed="false">
      <c r="B50" s="41" t="n">
        <v>46129</v>
      </c>
      <c r="C50" s="48" t="s">
        <v>109</v>
      </c>
      <c r="D50" s="48"/>
      <c r="E50" s="48"/>
      <c r="F50" s="48" t="s">
        <v>85</v>
      </c>
      <c r="G50" s="48"/>
      <c r="H50" s="43" t="s">
        <v>110</v>
      </c>
      <c r="I50" s="43"/>
      <c r="J50" s="43"/>
      <c r="K50" s="43"/>
      <c r="L50" s="43"/>
      <c r="M50" s="43"/>
      <c r="N50" s="44" t="n">
        <v>4546.8</v>
      </c>
      <c r="O50" s="44"/>
      <c r="P50" s="43"/>
      <c r="Q50" s="43"/>
      <c r="R50" s="43"/>
    </row>
    <row r="51" customFormat="false" ht="14.25" hidden="false" customHeight="true" outlineLevel="0" collapsed="false">
      <c r="B51" s="41" t="n">
        <v>46129</v>
      </c>
      <c r="C51" s="48" t="s">
        <v>111</v>
      </c>
      <c r="D51" s="48"/>
      <c r="E51" s="48"/>
      <c r="F51" s="48" t="s">
        <v>112</v>
      </c>
      <c r="G51" s="48"/>
      <c r="H51" s="43" t="s">
        <v>113</v>
      </c>
      <c r="I51" s="43"/>
      <c r="J51" s="43"/>
      <c r="K51" s="43"/>
      <c r="L51" s="43"/>
      <c r="M51" s="43"/>
      <c r="N51" s="44" t="n">
        <v>50400</v>
      </c>
      <c r="O51" s="44"/>
      <c r="P51" s="43"/>
      <c r="Q51" s="43"/>
      <c r="R51" s="43"/>
    </row>
    <row r="52" customFormat="false" ht="14.25" hidden="false" customHeight="false" outlineLevel="0" collapsed="false">
      <c r="B52" s="41"/>
      <c r="C52" s="48"/>
      <c r="D52" s="48"/>
      <c r="E52" s="48"/>
      <c r="F52" s="48"/>
      <c r="G52" s="48"/>
      <c r="H52" s="43"/>
      <c r="I52" s="43"/>
      <c r="J52" s="43"/>
      <c r="K52" s="43"/>
      <c r="L52" s="43"/>
      <c r="M52" s="43"/>
      <c r="N52" s="44"/>
      <c r="O52" s="44"/>
      <c r="P52" s="43"/>
      <c r="Q52" s="43"/>
      <c r="R52" s="43"/>
    </row>
    <row r="53" customFormat="false" ht="14.25" hidden="false" customHeight="false" outlineLevel="0" collapsed="false">
      <c r="B53" s="41"/>
      <c r="C53" s="48"/>
      <c r="D53" s="48"/>
      <c r="E53" s="48"/>
      <c r="F53" s="48"/>
      <c r="G53" s="48"/>
      <c r="H53" s="43"/>
      <c r="I53" s="43"/>
      <c r="J53" s="43"/>
      <c r="K53" s="43"/>
      <c r="L53" s="43"/>
      <c r="M53" s="43"/>
      <c r="N53" s="44"/>
      <c r="O53" s="44"/>
      <c r="P53" s="43"/>
      <c r="Q53" s="43"/>
      <c r="R53" s="43"/>
    </row>
    <row r="54" customFormat="false" ht="14.25" hidden="false" customHeight="false" outlineLevel="0" collapsed="false">
      <c r="H54" s="45" t="s">
        <v>114</v>
      </c>
      <c r="I54" s="45"/>
      <c r="J54" s="45"/>
      <c r="K54" s="45"/>
      <c r="L54" s="45"/>
      <c r="M54" s="45"/>
      <c r="N54" s="46" t="n">
        <f aca="false">SUM(N39:N53)</f>
        <v>613254.33</v>
      </c>
      <c r="O54" s="46"/>
      <c r="P54" s="47" t="s">
        <v>83</v>
      </c>
      <c r="Q54" s="47"/>
      <c r="R54" s="47"/>
    </row>
    <row r="56" customFormat="false" ht="14.25" hidden="false" customHeight="true" outlineLevel="0" collapsed="false">
      <c r="B56" s="34" t="s">
        <v>115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</row>
    <row r="57" customFormat="false" ht="14.25" hidden="false" customHeight="false" outlineLevel="0" collapsed="false">
      <c r="B57" s="35" t="s">
        <v>116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</row>
    <row r="58" customFormat="false" ht="14.25" hidden="false" customHeight="true" outlineLevel="0" collapsed="false">
      <c r="B58" s="43" t="s">
        <v>117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</row>
    <row r="59" customFormat="false" ht="14.25" hidden="false" customHeight="true" outlineLevel="0" collapsed="false">
      <c r="B59" s="43" t="s">
        <v>117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</row>
    <row r="60" customFormat="false" ht="14.25" hidden="false" customHeight="true" outlineLevel="0" collapsed="false">
      <c r="B60" s="43" t="s">
        <v>117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</row>
    <row r="62" customFormat="false" ht="14.25" hidden="false" customHeight="true" outlineLevel="0" collapsed="false">
      <c r="B62" s="34" t="s">
        <v>118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customFormat="false" ht="14.25" hidden="false" customHeight="false" outlineLevel="0" collapsed="false">
      <c r="B63" s="35" t="s">
        <v>119</v>
      </c>
      <c r="C63" s="49" t="n">
        <f aca="false">F16</f>
        <v>1018112.32</v>
      </c>
      <c r="E63" s="35" t="s">
        <v>120</v>
      </c>
      <c r="F63" s="49" t="n">
        <f aca="false">F35</f>
        <v>900789.04</v>
      </c>
      <c r="H63" s="35" t="s">
        <v>114</v>
      </c>
      <c r="I63" s="49" t="n">
        <f aca="false">N54</f>
        <v>613254.33</v>
      </c>
      <c r="K63" s="35" t="s">
        <v>121</v>
      </c>
      <c r="L63" s="49" t="n">
        <f aca="false">F35-N54</f>
        <v>287534.71</v>
      </c>
      <c r="N63" s="35" t="s">
        <v>122</v>
      </c>
      <c r="O63" s="49" t="n">
        <f aca="false">F16-F35</f>
        <v>117323.28</v>
      </c>
    </row>
    <row r="65" customFormat="false" ht="14.25" hidden="false" customHeight="false" outlineLevel="0" collapsed="false">
      <c r="B65" s="35" t="s">
        <v>11</v>
      </c>
      <c r="C65" s="50" t="n">
        <f aca="false">IFERROR(F35/F16,0)</f>
        <v>0.884763912885368</v>
      </c>
      <c r="E65" s="35" t="s">
        <v>123</v>
      </c>
      <c r="F65" s="51" t="n">
        <f aca="false">IFERROR(L63-H16,"")</f>
        <v>287534.71</v>
      </c>
    </row>
  </sheetData>
  <mergeCells count="148">
    <mergeCell ref="B1:R1"/>
    <mergeCell ref="B2:R2"/>
    <mergeCell ref="B4:R4"/>
    <mergeCell ref="B8:R8"/>
    <mergeCell ref="D10:H10"/>
    <mergeCell ref="J10:L10"/>
    <mergeCell ref="B12:L12"/>
    <mergeCell ref="B14:R14"/>
    <mergeCell ref="J16:R16"/>
    <mergeCell ref="B18:R18"/>
    <mergeCell ref="D20:E20"/>
    <mergeCell ref="F20:G20"/>
    <mergeCell ref="H20:R20"/>
    <mergeCell ref="D21:E21"/>
    <mergeCell ref="F21:G21"/>
    <mergeCell ref="H21:R21"/>
    <mergeCell ref="D22:E22"/>
    <mergeCell ref="F22:G22"/>
    <mergeCell ref="H22:R22"/>
    <mergeCell ref="D23:E23"/>
    <mergeCell ref="F23:G23"/>
    <mergeCell ref="H23:R23"/>
    <mergeCell ref="D24:E24"/>
    <mergeCell ref="F24:G24"/>
    <mergeCell ref="H24:R24"/>
    <mergeCell ref="D25:E25"/>
    <mergeCell ref="F25:G25"/>
    <mergeCell ref="H25:R25"/>
    <mergeCell ref="D26:E26"/>
    <mergeCell ref="F26:G26"/>
    <mergeCell ref="H26:R26"/>
    <mergeCell ref="D27:E27"/>
    <mergeCell ref="F27:G27"/>
    <mergeCell ref="H27:R27"/>
    <mergeCell ref="D28:E28"/>
    <mergeCell ref="F28:G28"/>
    <mergeCell ref="H28:R28"/>
    <mergeCell ref="D29:E29"/>
    <mergeCell ref="F29:G29"/>
    <mergeCell ref="H29:R29"/>
    <mergeCell ref="D30:E30"/>
    <mergeCell ref="F30:G30"/>
    <mergeCell ref="H30:R30"/>
    <mergeCell ref="D31:E31"/>
    <mergeCell ref="F31:G31"/>
    <mergeCell ref="H31:R31"/>
    <mergeCell ref="D32:E32"/>
    <mergeCell ref="F32:G32"/>
    <mergeCell ref="H32:R32"/>
    <mergeCell ref="D33:E33"/>
    <mergeCell ref="F33:G33"/>
    <mergeCell ref="H33:R33"/>
    <mergeCell ref="D34:E34"/>
    <mergeCell ref="F34:G34"/>
    <mergeCell ref="H34:R34"/>
    <mergeCell ref="D35:E35"/>
    <mergeCell ref="F35:G35"/>
    <mergeCell ref="H35:R35"/>
    <mergeCell ref="B37:R37"/>
    <mergeCell ref="C38:E38"/>
    <mergeCell ref="F38:G38"/>
    <mergeCell ref="H38:M38"/>
    <mergeCell ref="N38:O38"/>
    <mergeCell ref="P38:R38"/>
    <mergeCell ref="C39:E39"/>
    <mergeCell ref="F39:G39"/>
    <mergeCell ref="H39:M39"/>
    <mergeCell ref="N39:O39"/>
    <mergeCell ref="P39:R39"/>
    <mergeCell ref="C40:E40"/>
    <mergeCell ref="F40:G40"/>
    <mergeCell ref="H40:M40"/>
    <mergeCell ref="N40:O40"/>
    <mergeCell ref="P40:R40"/>
    <mergeCell ref="C41:E41"/>
    <mergeCell ref="F41:G41"/>
    <mergeCell ref="H41:M41"/>
    <mergeCell ref="N41:O41"/>
    <mergeCell ref="P41:R41"/>
    <mergeCell ref="C42:E42"/>
    <mergeCell ref="F42:G42"/>
    <mergeCell ref="H42:M42"/>
    <mergeCell ref="N42:O42"/>
    <mergeCell ref="P42:R42"/>
    <mergeCell ref="C43:E43"/>
    <mergeCell ref="F43:G43"/>
    <mergeCell ref="H43:M43"/>
    <mergeCell ref="N43:O43"/>
    <mergeCell ref="P43:R43"/>
    <mergeCell ref="C44:E44"/>
    <mergeCell ref="F44:G44"/>
    <mergeCell ref="H44:M44"/>
    <mergeCell ref="N44:O44"/>
    <mergeCell ref="P44:R44"/>
    <mergeCell ref="C45:E45"/>
    <mergeCell ref="F45:G45"/>
    <mergeCell ref="H45:M45"/>
    <mergeCell ref="N45:O45"/>
    <mergeCell ref="P45:R45"/>
    <mergeCell ref="C46:E46"/>
    <mergeCell ref="F46:G46"/>
    <mergeCell ref="H46:M46"/>
    <mergeCell ref="N46:O46"/>
    <mergeCell ref="P46:R46"/>
    <mergeCell ref="C47:E47"/>
    <mergeCell ref="F47:G47"/>
    <mergeCell ref="H47:M47"/>
    <mergeCell ref="N47:O47"/>
    <mergeCell ref="P47:R47"/>
    <mergeCell ref="C48:E48"/>
    <mergeCell ref="F48:G48"/>
    <mergeCell ref="H48:M48"/>
    <mergeCell ref="N48:O48"/>
    <mergeCell ref="P48:R48"/>
    <mergeCell ref="C49:E49"/>
    <mergeCell ref="F49:G49"/>
    <mergeCell ref="H49:M49"/>
    <mergeCell ref="N49:O49"/>
    <mergeCell ref="P49:R49"/>
    <mergeCell ref="C50:E50"/>
    <mergeCell ref="F50:G50"/>
    <mergeCell ref="H50:M50"/>
    <mergeCell ref="N50:O50"/>
    <mergeCell ref="P50:R50"/>
    <mergeCell ref="C51:E51"/>
    <mergeCell ref="F51:G51"/>
    <mergeCell ref="H51:M51"/>
    <mergeCell ref="N51:O51"/>
    <mergeCell ref="P51:R51"/>
    <mergeCell ref="C52:E52"/>
    <mergeCell ref="F52:G52"/>
    <mergeCell ref="H52:M52"/>
    <mergeCell ref="N52:O52"/>
    <mergeCell ref="P52:R52"/>
    <mergeCell ref="C53:E53"/>
    <mergeCell ref="F53:G53"/>
    <mergeCell ref="H53:M53"/>
    <mergeCell ref="N53:O53"/>
    <mergeCell ref="P53:R53"/>
    <mergeCell ref="H54:M54"/>
    <mergeCell ref="N54:O54"/>
    <mergeCell ref="P54:R54"/>
    <mergeCell ref="B56:R56"/>
    <mergeCell ref="C57:R57"/>
    <mergeCell ref="B58:R58"/>
    <mergeCell ref="B59:R59"/>
    <mergeCell ref="B60:R60"/>
    <mergeCell ref="B62:R62"/>
  </mergeCells>
  <dataValidations count="2">
    <dataValidation allowBlank="true" errorStyle="stop" operator="between" showDropDown="false" showErrorMessage="false" showInputMessage="false" sqref="P12" type="list">
      <formula1>Listes!$B$1:$B$3</formula1>
      <formula2>0</formula2>
    </dataValidation>
    <dataValidation allowBlank="true" errorStyle="stop" operator="between" showDropDown="false" showErrorMessage="false" showInputMessage="false" sqref="N12" type="list">
      <formula1>Listes!$A$1:$A$5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sheetData>
    <row r="1" customFormat="false" ht="14.25" hidden="false" customHeight="false" outlineLevel="0" collapsed="false">
      <c r="A1" s="0" t="s">
        <v>43</v>
      </c>
      <c r="B1" s="0" t="s">
        <v>124</v>
      </c>
    </row>
    <row r="2" customFormat="false" ht="14.25" hidden="false" customHeight="false" outlineLevel="0" collapsed="false">
      <c r="A2" s="0" t="s">
        <v>45</v>
      </c>
      <c r="B2" s="0" t="s">
        <v>125</v>
      </c>
    </row>
    <row r="3" customFormat="false" ht="14.25" hidden="false" customHeight="false" outlineLevel="0" collapsed="false">
      <c r="A3" s="0" t="s">
        <v>47</v>
      </c>
      <c r="B3" s="0" t="s">
        <v>126</v>
      </c>
    </row>
    <row r="4" customFormat="false" ht="14.25" hidden="false" customHeight="false" outlineLevel="0" collapsed="false">
      <c r="A4" s="0" t="s">
        <v>49</v>
      </c>
    </row>
    <row r="5" customFormat="false" ht="14.25" hidden="false" customHeight="false" outlineLevel="0" collapsed="false">
      <c r="A5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705829-3d1c-4a2b-99cd-dab59a74f258" xsi:nil="true"/>
    <lcf76f155ced4ddcb4097134ff3c332f xmlns="297bece8-88b0-4fcd-829e-0224625d5c3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74381A5B72B74BA32FF64106DEAA6B" ma:contentTypeVersion="13" ma:contentTypeDescription="Crée un document." ma:contentTypeScope="" ma:versionID="3a3c93834e889b535031a3b75ce23b9e">
  <xsd:schema xmlns:xsd="http://www.w3.org/2001/XMLSchema" xmlns:xs="http://www.w3.org/2001/XMLSchema" xmlns:p="http://schemas.microsoft.com/office/2006/metadata/properties" xmlns:ns2="297bece8-88b0-4fcd-829e-0224625d5c37" xmlns:ns3="81705829-3d1c-4a2b-99cd-dab59a74f258" targetNamespace="http://schemas.microsoft.com/office/2006/metadata/properties" ma:root="true" ma:fieldsID="3bb124907bc12b87b7ba5eba973773f4" ns2:_="" ns3:_="">
    <xsd:import namespace="297bece8-88b0-4fcd-829e-0224625d5c37"/>
    <xsd:import namespace="81705829-3d1c-4a2b-99cd-dab59a74f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bece8-88b0-4fcd-829e-0224625d5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c356484-eb58-4e7a-aa94-dfcee7a44a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05829-3d1c-4a2b-99cd-dab59a74f2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deb4fd-862a-4d6c-8e3f-8e88899ade6d}" ma:internalName="TaxCatchAll" ma:showField="CatchAllData" ma:web="81705829-3d1c-4a2b-99cd-dab59a74f2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8E7068-5683-4E2D-9C0A-91DAAC8D64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9A90B3-5D47-4B38-A88B-6B0F4BE9FBAA}">
  <ds:schemaRefs>
    <ds:schemaRef ds:uri="http://schemas.microsoft.com/office/2006/metadata/properties"/>
    <ds:schemaRef ds:uri="http://schemas.microsoft.com/office/infopath/2007/PartnerControls"/>
    <ds:schemaRef ds:uri="81705829-3d1c-4a2b-99cd-dab59a74f258"/>
    <ds:schemaRef ds:uri="297bece8-88b0-4fcd-829e-0224625d5c37"/>
  </ds:schemaRefs>
</ds:datastoreItem>
</file>

<file path=customXml/itemProps3.xml><?xml version="1.0" encoding="utf-8"?>
<ds:datastoreItem xmlns:ds="http://schemas.openxmlformats.org/officeDocument/2006/customXml" ds:itemID="{54B92AB2-A93E-461E-8B4A-7972FBC55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bece8-88b0-4fcd-829e-0224625d5c37"/>
    <ds:schemaRef ds:uri="81705829-3d1c-4a2b-99cd-dab59a74f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2026-04-13T13:59:20Z</dcterms:created>
  <dc:creator>openpyxl</dc:creator>
  <dc:description/>
  <dc:language>fr-FR</dc:language>
  <cp:lastModifiedBy/>
  <dcterms:modified xsi:type="dcterms:W3CDTF">2026-04-20T15:38:44Z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0x0101006774381A5B72B74BA32FF64106DEAA6B</vt:lpwstr>
  </property>
  <property fmtid="{D5CDD505-2E9C-101B-9397-08002B2CF9AE}" pid="3" name="MediaServiceImageTags">
    <vt:lpwstr/>
  </property>
</Properties>
</file>