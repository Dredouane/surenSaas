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ev0000-my.sharepoint.com/personal/s_vanyan_ar-ev_fr/Documents/Bureau/Remise Lot 1/"/>
    </mc:Choice>
  </mc:AlternateContent>
  <xr:revisionPtr revIDLastSave="50" documentId="8_{3BA78F56-438C-4D34-92B2-1D048628CD45}" xr6:coauthVersionLast="47" xr6:coauthVersionMax="47" xr10:uidLastSave="{06661333-EFEF-4338-86BE-8FCF615E0581}"/>
  <bookViews>
    <workbookView xWindow="-110" yWindow="-110" windowWidth="25820" windowHeight="15500" xr2:uid="{00000000-000D-0000-FFFF-FFFF00000000}"/>
  </bookViews>
  <sheets>
    <sheet name="BPU LOT 1" sheetId="28" r:id="rId1"/>
    <sheet name="DQE LOT 1" sheetId="30" r:id="rId2"/>
  </sheets>
  <definedNames>
    <definedName name="_xlnm.Print_Area" localSheetId="0">'BPU LOT 1'!$A$1:$H$209</definedName>
    <definedName name="_xlnm.Print_Area" localSheetId="1">'DQE LOT 1'!$A$1:$J$214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7" i="30" l="1"/>
  <c r="J37" i="30" s="1"/>
  <c r="H38" i="30"/>
  <c r="J38" i="30" s="1"/>
  <c r="H39" i="30"/>
  <c r="J39" i="30" s="1"/>
  <c r="H40" i="30"/>
  <c r="J40" i="30" s="1"/>
  <c r="H36" i="30"/>
  <c r="H30" i="30"/>
  <c r="J30" i="30" s="1"/>
  <c r="H31" i="30"/>
  <c r="J31" i="30" s="1"/>
  <c r="H29" i="30"/>
  <c r="H21" i="30"/>
  <c r="J21" i="30" s="1"/>
  <c r="H22" i="30"/>
  <c r="J22" i="30" s="1"/>
  <c r="H23" i="30"/>
  <c r="J23" i="30" s="1"/>
  <c r="H24" i="30"/>
  <c r="J24" i="30" s="1"/>
  <c r="H20" i="30"/>
  <c r="J20" i="30" s="1"/>
  <c r="H10" i="30"/>
  <c r="H11" i="30"/>
  <c r="H12" i="30"/>
  <c r="J12" i="30" s="1"/>
  <c r="H13" i="30"/>
  <c r="H9" i="30"/>
  <c r="J9" i="30" s="1"/>
  <c r="H207" i="30"/>
  <c r="J207" i="30" s="1"/>
  <c r="H208" i="30"/>
  <c r="H206" i="30"/>
  <c r="H200" i="30"/>
  <c r="H201" i="30"/>
  <c r="H199" i="30"/>
  <c r="H192" i="30"/>
  <c r="H182" i="30"/>
  <c r="H183" i="30"/>
  <c r="J183" i="30" s="1"/>
  <c r="H184" i="30"/>
  <c r="H185" i="30"/>
  <c r="H181" i="30"/>
  <c r="H176" i="30"/>
  <c r="H177" i="30"/>
  <c r="H178" i="30"/>
  <c r="J178" i="30" s="1"/>
  <c r="H179" i="30"/>
  <c r="J179" i="30" s="1"/>
  <c r="H175" i="30"/>
  <c r="J175" i="30" s="1"/>
  <c r="H172" i="30"/>
  <c r="H173" i="30"/>
  <c r="H171" i="30"/>
  <c r="H164" i="30"/>
  <c r="H155" i="30"/>
  <c r="H156" i="30"/>
  <c r="J156" i="30" s="1"/>
  <c r="H157" i="30"/>
  <c r="J157" i="30" s="1"/>
  <c r="H158" i="30"/>
  <c r="J158" i="30" s="1"/>
  <c r="H154" i="30"/>
  <c r="J154" i="30" s="1"/>
  <c r="H146" i="30"/>
  <c r="J146" i="30" s="1"/>
  <c r="H147" i="30"/>
  <c r="H148" i="30"/>
  <c r="H149" i="30"/>
  <c r="H145" i="30"/>
  <c r="H140" i="30"/>
  <c r="H124" i="30"/>
  <c r="J124" i="30" s="1"/>
  <c r="H125" i="30"/>
  <c r="J125" i="30" s="1"/>
  <c r="H126" i="30"/>
  <c r="H127" i="30"/>
  <c r="H128" i="30"/>
  <c r="H129" i="30"/>
  <c r="H130" i="30"/>
  <c r="H131" i="30"/>
  <c r="H123" i="30"/>
  <c r="J123" i="30" s="1"/>
  <c r="H116" i="30"/>
  <c r="J116" i="30" s="1"/>
  <c r="H108" i="30"/>
  <c r="H109" i="30"/>
  <c r="H110" i="30"/>
  <c r="H111" i="30"/>
  <c r="H112" i="30"/>
  <c r="H107" i="30"/>
  <c r="H101" i="30"/>
  <c r="H102" i="30"/>
  <c r="H100" i="30"/>
  <c r="H94" i="30"/>
  <c r="J94" i="30" s="1"/>
  <c r="H95" i="30"/>
  <c r="J95" i="30" s="1"/>
  <c r="H96" i="30"/>
  <c r="J96" i="30" s="1"/>
  <c r="H97" i="30"/>
  <c r="J97" i="30" s="1"/>
  <c r="H93" i="30"/>
  <c r="J93" i="30" s="1"/>
  <c r="H87" i="30"/>
  <c r="H88" i="30"/>
  <c r="H86" i="30"/>
  <c r="J86" i="30" s="1"/>
  <c r="H78" i="30"/>
  <c r="J78" i="30" s="1"/>
  <c r="H79" i="30"/>
  <c r="J79" i="30" s="1"/>
  <c r="H80" i="30"/>
  <c r="J80" i="30" s="1"/>
  <c r="H81" i="30"/>
  <c r="H77" i="30"/>
  <c r="J77" i="30" s="1"/>
  <c r="H69" i="30"/>
  <c r="J69" i="30" s="1"/>
  <c r="H70" i="30"/>
  <c r="J70" i="30" s="1"/>
  <c r="H71" i="30"/>
  <c r="J71" i="30" s="1"/>
  <c r="H72" i="30"/>
  <c r="H68" i="30"/>
  <c r="J68" i="30" s="1"/>
  <c r="H61" i="30"/>
  <c r="H59" i="30"/>
  <c r="J59" i="30" s="1"/>
  <c r="H57" i="30"/>
  <c r="H55" i="30"/>
  <c r="J55" i="30" s="1"/>
  <c r="H53" i="30"/>
  <c r="J53" i="30" s="1"/>
  <c r="H51" i="30"/>
  <c r="J51" i="30" s="1"/>
  <c r="J10" i="30"/>
  <c r="J11" i="30"/>
  <c r="J13" i="30"/>
  <c r="J208" i="30"/>
  <c r="J206" i="30"/>
  <c r="J200" i="30"/>
  <c r="J201" i="30"/>
  <c r="J199" i="30"/>
  <c r="J192" i="30"/>
  <c r="J182" i="30"/>
  <c r="J184" i="30"/>
  <c r="J185" i="30"/>
  <c r="J181" i="30"/>
  <c r="J177" i="30"/>
  <c r="J176" i="30"/>
  <c r="J172" i="30"/>
  <c r="J173" i="30"/>
  <c r="J171" i="30"/>
  <c r="J163" i="30"/>
  <c r="J155" i="30"/>
  <c r="J147" i="30"/>
  <c r="J148" i="30"/>
  <c r="J149" i="30"/>
  <c r="J145" i="30"/>
  <c r="J140" i="30"/>
  <c r="J126" i="30"/>
  <c r="J127" i="30"/>
  <c r="J128" i="30"/>
  <c r="J129" i="30"/>
  <c r="J130" i="30"/>
  <c r="J131" i="30"/>
  <c r="J108" i="30"/>
  <c r="J109" i="30"/>
  <c r="J110" i="30"/>
  <c r="J111" i="30"/>
  <c r="J112" i="30"/>
  <c r="J107" i="30"/>
  <c r="J87" i="30"/>
  <c r="J88" i="30"/>
  <c r="J81" i="30"/>
  <c r="J72" i="30"/>
  <c r="J57" i="30"/>
  <c r="J36" i="30"/>
  <c r="J29" i="30"/>
  <c r="J210" i="30" l="1"/>
</calcChain>
</file>

<file path=xl/sharedStrings.xml><?xml version="1.0" encoding="utf-8"?>
<sst xmlns="http://schemas.openxmlformats.org/spreadsheetml/2006/main" count="969" uniqueCount="241">
  <si>
    <t>Désignation</t>
  </si>
  <si>
    <t>Unité</t>
  </si>
  <si>
    <t>AMIANTE</t>
  </si>
  <si>
    <t>de 1 à 5</t>
  </si>
  <si>
    <t>de 6 à 10</t>
  </si>
  <si>
    <t>N°</t>
  </si>
  <si>
    <t>l'unité</t>
  </si>
  <si>
    <t>plus de 10</t>
  </si>
  <si>
    <t>PLOMB</t>
  </si>
  <si>
    <t>Prélèvement et analyse de la concentration acido-basique en plomb</t>
  </si>
  <si>
    <t>l'échantillon</t>
  </si>
  <si>
    <t xml:space="preserve">ANALYSE ET MESURES </t>
  </si>
  <si>
    <t>Prélèvement et analyse d'un échantillon</t>
  </si>
  <si>
    <t>Prix unitaire en fonction du nombre commandé</t>
  </si>
  <si>
    <t>Code article</t>
  </si>
  <si>
    <t>Nombre de logements</t>
  </si>
  <si>
    <t>Nombre d'unités</t>
  </si>
  <si>
    <t>Prix unitaire en € H.T.</t>
  </si>
  <si>
    <t>Diagnostic Performance Énergétique commerce (DPE)</t>
  </si>
  <si>
    <t xml:space="preserve">Diagnostic Performance Énergétique </t>
  </si>
  <si>
    <t>Local ≤ 10 m²</t>
  </si>
  <si>
    <t>de 1 à 10</t>
  </si>
  <si>
    <t>Parc de stationnement</t>
  </si>
  <si>
    <t>Local</t>
  </si>
  <si>
    <t>Chambre</t>
  </si>
  <si>
    <t>F1</t>
  </si>
  <si>
    <t>F2</t>
  </si>
  <si>
    <t>Type de Logement</t>
  </si>
  <si>
    <t>F3</t>
  </si>
  <si>
    <t>F4 et plus</t>
  </si>
  <si>
    <t>Logement</t>
  </si>
  <si>
    <t>Prix unitaire en fonction de la superficie</t>
  </si>
  <si>
    <t>Superficie</t>
  </si>
  <si>
    <t>Prix au logement en fonction du type de logement</t>
  </si>
  <si>
    <t>Local &gt; 500 m²</t>
  </si>
  <si>
    <t>Réalisation du Dossier Technique Amiante : Parc de stationnement</t>
  </si>
  <si>
    <t>Mise à jour d'un DTA : 
Parc de stationnement</t>
  </si>
  <si>
    <t>DOSSIER TECHNIQUE AMIANTE PARTIES COMMUNES ET LOCAUX</t>
  </si>
  <si>
    <t>Réalisation d'un Diagnostic Amiante Avant Vente : Logement</t>
  </si>
  <si>
    <t>DIAGNOSTIC AMIANTE LOGEMENT</t>
  </si>
  <si>
    <t>ÉTAT RELATIF À LA PRÉSENCE DE TERMITES</t>
  </si>
  <si>
    <t>de 11 à 100</t>
  </si>
  <si>
    <t>Plus de 100</t>
  </si>
  <si>
    <t>Tranche de 100 logements supp</t>
  </si>
  <si>
    <t>Ensemble Immobilier :
≤ 20 logements</t>
  </si>
  <si>
    <t>Prix à l'ensemble immobilier en fonction du nombre de logements</t>
  </si>
  <si>
    <t>Inférieur à 100 places</t>
  </si>
  <si>
    <t>De 101 à 250 places</t>
  </si>
  <si>
    <t>Nombre de véhicules</t>
  </si>
  <si>
    <t>Supérieur à 251 places</t>
  </si>
  <si>
    <t>Prix unitaire en fonction du nombre de véhicules</t>
  </si>
  <si>
    <t>DIAGNOSTIC PLOMB : CONSTAT DE RISQUE D'EXPOSITION AU PLOMB (PARTIE COMMUNE)</t>
  </si>
  <si>
    <t>DIAGNOSTIC PLOMB : CONSTAT DE RISQUE D'EXPOSITION AU PLOMB (LOGEMENT)</t>
  </si>
  <si>
    <r>
      <t xml:space="preserve">L'unité : à utiliser uniquement avec
</t>
    </r>
    <r>
      <rPr>
        <b/>
        <sz val="10"/>
        <rFont val="Arial"/>
        <family val="2"/>
      </rPr>
      <t>l'article N° 11</t>
    </r>
    <r>
      <rPr>
        <sz val="10"/>
        <rFont val="Arial"/>
        <family val="2"/>
      </rPr>
      <t xml:space="preserve"> </t>
    </r>
  </si>
  <si>
    <t>Réalisation du Constat de Risque d’Exposition au Plomb  : Logement</t>
  </si>
  <si>
    <t>Réalisation du Constat de Risque d’Exposition au Plomb : Parc de Stationnement</t>
  </si>
  <si>
    <t>Réalisation du Diagnostic Amiante Parties Privatives (DAPP) : Logement</t>
  </si>
  <si>
    <t>Réalisation du Dossier Technique Amiante : Groupe immobilier Parties communes</t>
  </si>
  <si>
    <t>Réalisation d'un État Relatif à la Présence de Termites : Logement</t>
  </si>
  <si>
    <t>Réalisation d'un État Relatif à la Présence de Termites : Groupe immobilier parties communes</t>
  </si>
  <si>
    <t>DIAGNOSTIC TERMITES</t>
  </si>
  <si>
    <t>Local ≤ 200 m²</t>
  </si>
  <si>
    <t>10 m² &lt; local ≤ 50 m²</t>
  </si>
  <si>
    <t>50 m² &lt; local ≤ 100 m²</t>
  </si>
  <si>
    <t>100 m² &lt; local ≤ 500 m²</t>
  </si>
  <si>
    <t>local &gt; 500 m²</t>
  </si>
  <si>
    <t>200 m² &lt; local ≤ 500 m²</t>
  </si>
  <si>
    <t>Ensemble Immobilier :
20 &lt; logements ≤ 50</t>
  </si>
  <si>
    <t>Ensemble Immobilier :
50 &lt; logements ≤ 150</t>
  </si>
  <si>
    <t>Ensemble Immobilier :
150 &lt; logements ≤ 300</t>
  </si>
  <si>
    <t>Le diagnostic par logement</t>
  </si>
  <si>
    <t>Diagnostic ERP</t>
  </si>
  <si>
    <t xml:space="preserve">Diagnostics Etat des Risques et Pollutions </t>
  </si>
  <si>
    <t>Diagnostic Etat de l'installation Intérieur de Gaz</t>
  </si>
  <si>
    <t>Diagnostic Etat de l'installation Intérieur d'électricité</t>
  </si>
  <si>
    <t>Diagnostic Etat de l'installation Intérieur de d'Electricité et de Gaz</t>
  </si>
  <si>
    <t>Diagnostic Performance Énergétique ensemble immobilier (DPE)</t>
  </si>
  <si>
    <t>Diagnostic Performance Énergétique Logement (DPE)</t>
  </si>
  <si>
    <t>Par Bâtiment</t>
  </si>
  <si>
    <t>≤ 20 logements</t>
  </si>
  <si>
    <t>20 &lt; logements ≤ 50</t>
  </si>
  <si>
    <t>50 &lt; logements ≤ 150</t>
  </si>
  <si>
    <t>150 &lt; logements ≤ 300</t>
  </si>
  <si>
    <t xml:space="preserve">Le diagnostic au bâtiment </t>
  </si>
  <si>
    <t>par Bâtiment</t>
  </si>
  <si>
    <t xml:space="preserve">
≤ 20 logements</t>
  </si>
  <si>
    <t>Prix par bâtiment en fonction du nombre de logements</t>
  </si>
  <si>
    <t>KLM002</t>
  </si>
  <si>
    <t>KLM003</t>
  </si>
  <si>
    <t>KLM004</t>
  </si>
  <si>
    <t>KLM005</t>
  </si>
  <si>
    <t>KLM001</t>
  </si>
  <si>
    <t>KLM006</t>
  </si>
  <si>
    <t>KLM007</t>
  </si>
  <si>
    <t>KLM008</t>
  </si>
  <si>
    <t>KLM009</t>
  </si>
  <si>
    <t>KLM010</t>
  </si>
  <si>
    <t>KLM011</t>
  </si>
  <si>
    <t>KLM013</t>
  </si>
  <si>
    <t>KLM012</t>
  </si>
  <si>
    <t>KLM014</t>
  </si>
  <si>
    <t>KLM015</t>
  </si>
  <si>
    <t>KLM016</t>
  </si>
  <si>
    <t>KLM017</t>
  </si>
  <si>
    <t>KLM018</t>
  </si>
  <si>
    <t>KLM027</t>
  </si>
  <si>
    <t>KLM028</t>
  </si>
  <si>
    <t>KLM029</t>
  </si>
  <si>
    <t>KLM033</t>
  </si>
  <si>
    <t>KLM034</t>
  </si>
  <si>
    <t>KLM035</t>
  </si>
  <si>
    <t>KLM036</t>
  </si>
  <si>
    <t>KLM037</t>
  </si>
  <si>
    <t>KLM038</t>
  </si>
  <si>
    <t>KLM039</t>
  </si>
  <si>
    <t>KLM040</t>
  </si>
  <si>
    <t>KLM041</t>
  </si>
  <si>
    <t>KLM042</t>
  </si>
  <si>
    <t>KLM043</t>
  </si>
  <si>
    <t>KLM044</t>
  </si>
  <si>
    <t>KLM045</t>
  </si>
  <si>
    <t>KLM046</t>
  </si>
  <si>
    <t>KLM047</t>
  </si>
  <si>
    <t>KLM048</t>
  </si>
  <si>
    <t>KLM049</t>
  </si>
  <si>
    <t>KLM071</t>
  </si>
  <si>
    <t>KLM072</t>
  </si>
  <si>
    <t>KLM073</t>
  </si>
  <si>
    <t>KLM074</t>
  </si>
  <si>
    <t>KLM075</t>
  </si>
  <si>
    <t>KLM076</t>
  </si>
  <si>
    <t>KLM077</t>
  </si>
  <si>
    <t>KLM078</t>
  </si>
  <si>
    <t>KLM079</t>
  </si>
  <si>
    <t>KLM080</t>
  </si>
  <si>
    <t>KLM081</t>
  </si>
  <si>
    <t>KLM082</t>
  </si>
  <si>
    <t>KLM083</t>
  </si>
  <si>
    <t>KLM084</t>
  </si>
  <si>
    <t>KLM092</t>
  </si>
  <si>
    <t>KLM093</t>
  </si>
  <si>
    <t>KLM094</t>
  </si>
  <si>
    <t>KLM095</t>
  </si>
  <si>
    <t>KLM096</t>
  </si>
  <si>
    <t>KLM097</t>
  </si>
  <si>
    <t>KLM098</t>
  </si>
  <si>
    <t>KLM099</t>
  </si>
  <si>
    <t>KLM100</t>
  </si>
  <si>
    <t>KLM101</t>
  </si>
  <si>
    <t>KLM102</t>
  </si>
  <si>
    <t>KLM103</t>
  </si>
  <si>
    <t>KLM104</t>
  </si>
  <si>
    <t>KLM105</t>
  </si>
  <si>
    <t>KLM106</t>
  </si>
  <si>
    <t>KLM166</t>
  </si>
  <si>
    <t>KLM167</t>
  </si>
  <si>
    <t>KLM168</t>
  </si>
  <si>
    <t>KLM169</t>
  </si>
  <si>
    <t>KLM170</t>
  </si>
  <si>
    <t>KLM171</t>
  </si>
  <si>
    <t>KLM172</t>
  </si>
  <si>
    <t>KLM173</t>
  </si>
  <si>
    <t>KLM174</t>
  </si>
  <si>
    <t>KLM175</t>
  </si>
  <si>
    <t>KLM144</t>
  </si>
  <si>
    <t>KLM141</t>
  </si>
  <si>
    <t>KLM142</t>
  </si>
  <si>
    <t>KLM143</t>
  </si>
  <si>
    <t>Nombre de logements par bâtiment</t>
  </si>
  <si>
    <t>Ensemble immobilier par ESI</t>
  </si>
  <si>
    <t>Réalisation du Constat de Risque d’Exposition au Plomb  :
Local technique / Commerce / ERP / Local associatif / Local administratif de l'OPH  / Loge gardien / Chaufferie</t>
  </si>
  <si>
    <t>Mise à jour d'un DTA : Local technique / Commerce / ERP / Local associatif / Local administratif de l'OPH / Loge gardien / Chaufferie</t>
  </si>
  <si>
    <t>Réalisation d'un État Relatif à la Présence de Termites : Local technique / Commerce / ERP / Local associatif / Local administratif de l'OPH / Loge gardien / Cave</t>
  </si>
  <si>
    <t>§ CCTP</t>
  </si>
  <si>
    <t>Compris cartographie d'étendue et photographies des éléments avec une peinture présentant une concentration en plomb &gt; 1 mg/cm²</t>
  </si>
  <si>
    <t>Spécificités</t>
  </si>
  <si>
    <t>DAPP
Rapport de repérage liste A avec évaluation de l'état de conservation</t>
  </si>
  <si>
    <t>Complément Diagnostic Amiante Parties Privatives (DAPP) en plus d'un Diagnostic Amiante Avant Travaux  : Logement</t>
  </si>
  <si>
    <t>-</t>
  </si>
  <si>
    <t>DTA avec intégreation des données amiante si existante
Rapport de repérage liste A et B ainsi qu'évaluation des l'état de conservation 
Fiche récapitulative</t>
  </si>
  <si>
    <t>KLMXX</t>
  </si>
  <si>
    <t>Mise à jour du DTA sur base documentaire</t>
  </si>
  <si>
    <t>Mise à jour du DTA sur la base des documents founis par le MOA : 
Rapport de repérage avant travaux
Rapport fin de travaux désamiantage ou justificatif de recouvrement/encoffrement
Examens visuels et/ou mesures d'epoussièrement de l'air
Etc.</t>
  </si>
  <si>
    <t>Diagnostic Etat de l'installation Intérieur Gaz et/ou Electricité</t>
  </si>
  <si>
    <t>ANALYSES ET MESURES AMIANTE ET PLOMB</t>
  </si>
  <si>
    <t>X</t>
  </si>
  <si>
    <t>Rapport de repérage liste A et B</t>
  </si>
  <si>
    <t>Réalisation du Dossier Technique Amiante :
Local technique / Commerce / ERP / Local associatif / Local administratif de l'OPH / Loge gardien / Chaufferie si indépendante</t>
  </si>
  <si>
    <t>DTA avec intégration des données amiante si existante
Rapport de repérage liste A et B ainsi qu'évaluation des l'état de conservation 
Fiche récapitulative
Compris, sous-sol, enveloppe du bâtiment, annexes et extérieurs</t>
  </si>
  <si>
    <t>Analyse de prélèvement matériau en Microscopie Electronique à Transmission (MET).</t>
  </si>
  <si>
    <t xml:space="preserve">Analyse de prélèvement matériau en Microscopie Optique à Lumière Polarisée (MOLP) </t>
  </si>
  <si>
    <t>Réalisation d'un Diagnostic Amiante Avant Travaux : Logement</t>
  </si>
  <si>
    <t xml:space="preserve">compris dissociation </t>
  </si>
  <si>
    <t>RAPPORT DE REPERAGE PLOMB AVANT TRAVAUX/DEMOLITION - RPAT / RPAD</t>
  </si>
  <si>
    <t>DEMANDES SPECIFIQUES</t>
  </si>
  <si>
    <t>Ens</t>
  </si>
  <si>
    <t>heure</t>
  </si>
  <si>
    <t xml:space="preserve">Plus valuers Intervention en horaire décalé - Nuits et weekend </t>
  </si>
  <si>
    <t>Pour des petits travaux type à la relocation
Rapport de repérage amiante avant travaux selon arrêté du 16/07/2019 et les attentes du CCTP</t>
  </si>
  <si>
    <t>Mise à jour du DTA et la fiche récapitulative, compris rapport de repérage liste A et B comprenant l'évaluation périodique de l'état de conservation des matériaux des listes A et B</t>
  </si>
  <si>
    <t>Mise à jour du Diagnostic Amiante Parties Privatives (DAPP) : Logement</t>
  </si>
  <si>
    <t>Mise à jour du DAPP comprenant la réalisation du rapport de repérage liste A avec l'évaluation périodique de l'état de conservation</t>
  </si>
  <si>
    <t>Mise à jour du Diagnostic Amiante Parties Privatives (DAPP) sur base documentaire : Logement</t>
  </si>
  <si>
    <t>Mise à jour du DAPP sur la base des documents founis par le MOA : 
Rapport de repérage avant travaux
Rapport fin de travaux désamiantage ou justificatif de recouvrement/encoffrement
Examens visuels et/ou mesures d'epoussièrement de l'air
Etc.</t>
  </si>
  <si>
    <t>7.1</t>
  </si>
  <si>
    <t>7.4</t>
  </si>
  <si>
    <t>§ CTTP</t>
  </si>
  <si>
    <t>7.5</t>
  </si>
  <si>
    <t>7.6</t>
  </si>
  <si>
    <t>7.7</t>
  </si>
  <si>
    <t>7.2</t>
  </si>
  <si>
    <t xml:space="preserve">Réalisation du Constat de Risque d’Exposition au Plomb : Groupe immobilier parties communes </t>
  </si>
  <si>
    <t>Compris cartographie d'étendue et photographies des éléments avec une peinture présentant une concentration en plomb &gt; 1 mg/cm²
Compris, sous-sol, enveloppe du bâtiment, annexes et extérieurs</t>
  </si>
  <si>
    <t xml:space="preserve">Ensemble Immobilier par ESI </t>
  </si>
  <si>
    <t>7.3</t>
  </si>
  <si>
    <t>§CCTP</t>
  </si>
  <si>
    <t>7.8</t>
  </si>
  <si>
    <t>7.9</t>
  </si>
  <si>
    <t>7.10</t>
  </si>
  <si>
    <t>7.11</t>
  </si>
  <si>
    <t>Réalisation d'un repérage avant vente d'un ensemble immobilier</t>
  </si>
  <si>
    <t>Rapport de repérage liste A et B (partie communes et parties privatives)</t>
  </si>
  <si>
    <t>En</t>
  </si>
  <si>
    <t>8.11</t>
  </si>
  <si>
    <t>8.13</t>
  </si>
  <si>
    <r>
      <rPr>
        <b/>
        <sz val="10"/>
        <rFont val="Arial"/>
        <family val="2"/>
      </rPr>
      <t>ACCORD CADRE MONO-ATTRIBUTAIRE PAR LOT A BONS DE COMMANDE</t>
    </r>
    <r>
      <rPr>
        <sz val="10"/>
        <rFont val="Arial"/>
        <family val="2"/>
      </rPr>
      <t xml:space="preserve">
BORDEREAU DE PRIX UNITAIRES (BPU)
</t>
    </r>
    <r>
      <rPr>
        <b/>
        <sz val="10"/>
        <rFont val="Arial"/>
        <family val="2"/>
      </rPr>
      <t>LOT N°01</t>
    </r>
    <r>
      <rPr>
        <sz val="10"/>
        <rFont val="Arial"/>
        <family val="2"/>
      </rPr>
      <t xml:space="preserve"> -  Missions de diagnostics réglementaires sur l’ensemble du patrimoine de OPH AUBERVILLIERS : amiante, plomb, termites, Electricité, gaz, Etats des risques de pollution. </t>
    </r>
  </si>
  <si>
    <t>7.12</t>
  </si>
  <si>
    <t>7.13</t>
  </si>
  <si>
    <t xml:space="preserve">Les dispositions techniques et organisationnelles des parapgraphes 1 à 6 sont compris dans les prix unitaires indiqués ci-dessous. </t>
  </si>
  <si>
    <t xml:space="preserve">Plus values pour intervention urgente avec livrables sous 72h </t>
  </si>
  <si>
    <t>TOTAL
€ H.T.</t>
  </si>
  <si>
    <t>QTÉ annuelle estimative</t>
  </si>
  <si>
    <t>QTÉ estimative</t>
  </si>
  <si>
    <t>unité par bâtiment</t>
  </si>
  <si>
    <t>Forfait 4h</t>
  </si>
  <si>
    <t>Forfait 8h</t>
  </si>
  <si>
    <t>Détail</t>
  </si>
  <si>
    <t>TOTAL DQE € HT</t>
  </si>
  <si>
    <t>forfait 4h</t>
  </si>
  <si>
    <t>Mise à jour du DTA et la fiche récapitulative, compris visite et rapport de repérage liste A et B comprenant l'évaluation périodique de l'état de conservation des matériaux des listes A et B</t>
  </si>
  <si>
    <r>
      <rPr>
        <b/>
        <sz val="10"/>
        <rFont val="Arial"/>
        <family val="2"/>
      </rPr>
      <t>ACCORD CADRE MONO-ATTRIBUTAIRE PAR LOT A BONS DE COMMANDE</t>
    </r>
    <r>
      <rPr>
        <sz val="10"/>
        <rFont val="Arial"/>
        <family val="2"/>
      </rPr>
      <t xml:space="preserve">
DETAIL QUANTITATIF ESTIMATIF (DQE)
</t>
    </r>
    <r>
      <rPr>
        <b/>
        <sz val="10"/>
        <rFont val="Arial"/>
        <family val="2"/>
      </rPr>
      <t>LOT N°01</t>
    </r>
    <r>
      <rPr>
        <sz val="10"/>
        <rFont val="Arial"/>
        <family val="2"/>
      </rPr>
      <t xml:space="preserve"> -  Missions de diagnostics réglementaires sur l’ensemble du patrimoine de OPH AUBERVILLIERS : amiante, plomb, termites, Electricité, gaz, Etats des risques de pollution.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</si>
</sst>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ADF0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A2F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0" fontId="2" fillId="0" borderId="0"/>
  </cellStyleXfs>
  <cellXfs count="55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3" fillId="0" borderId="0" xfId="0" applyFont="1"/>
    <xf numFmtId="2" fontId="3" fillId="3" borderId="0" xfId="0" applyNumberFormat="1" applyFont="1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2" fontId="10" fillId="7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2" fontId="10" fillId="7" borderId="7" xfId="0" applyNumberFormat="1" applyFont="1" applyFill="1" applyBorder="1" applyAlignment="1">
      <alignment horizontal="center" vertical="center" wrapText="1"/>
    </xf>
    <xf numFmtId="2" fontId="10" fillId="7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quotePrefix="1" applyFont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" fontId="3" fillId="0" borderId="1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0" fillId="2" borderId="18" xfId="0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0" fillId="0" borderId="14" xfId="0" applyBorder="1"/>
    <xf numFmtId="0" fontId="0" fillId="4" borderId="18" xfId="0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0" borderId="15" xfId="0" applyBorder="1"/>
    <xf numFmtId="0" fontId="10" fillId="8" borderId="15" xfId="0" applyFont="1" applyFill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7" fillId="9" borderId="15" xfId="0" applyFont="1" applyFill="1" applyBorder="1" applyAlignment="1">
      <alignment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2" fontId="10" fillId="7" borderId="31" xfId="0" applyNumberFormat="1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3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2" fontId="7" fillId="0" borderId="0" xfId="0" applyNumberFormat="1" applyFont="1" applyAlignment="1">
      <alignment horizontal="center" vertical="center" wrapText="1"/>
    </xf>
    <xf numFmtId="0" fontId="7" fillId="9" borderId="0" xfId="0" applyFont="1" applyFill="1" applyAlignment="1">
      <alignment vertical="center" wrapText="1"/>
    </xf>
    <xf numFmtId="0" fontId="0" fillId="0" borderId="1" xfId="0" applyBorder="1"/>
    <xf numFmtId="0" fontId="12" fillId="0" borderId="0" xfId="0" applyFont="1"/>
    <xf numFmtId="0" fontId="2" fillId="0" borderId="0" xfId="3"/>
    <xf numFmtId="0" fontId="2" fillId="0" borderId="0" xfId="3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8" borderId="1" xfId="3" applyFont="1" applyFill="1" applyBorder="1" applyAlignment="1">
      <alignment horizontal="center" vertical="center" wrapText="1"/>
    </xf>
    <xf numFmtId="0" fontId="2" fillId="6" borderId="1" xfId="3" applyFill="1" applyBorder="1" applyAlignment="1">
      <alignment horizontal="center" vertical="center" wrapText="1"/>
    </xf>
    <xf numFmtId="0" fontId="2" fillId="8" borderId="1" xfId="3" applyFill="1" applyBorder="1" applyAlignment="1">
      <alignment horizontal="center" vertical="center" wrapText="1"/>
    </xf>
    <xf numFmtId="0" fontId="2" fillId="6" borderId="1" xfId="3" quotePrefix="1" applyFill="1" applyBorder="1" applyAlignment="1">
      <alignment horizontal="center" vertical="center" wrapText="1"/>
    </xf>
    <xf numFmtId="0" fontId="9" fillId="9" borderId="18" xfId="3" applyFont="1" applyFill="1" applyBorder="1" applyAlignment="1">
      <alignment horizontal="center" vertical="center" wrapText="1"/>
    </xf>
    <xf numFmtId="0" fontId="9" fillId="9" borderId="1" xfId="3" applyFont="1" applyFill="1" applyBorder="1" applyAlignment="1">
      <alignment horizontal="center" vertical="center" wrapText="1"/>
    </xf>
    <xf numFmtId="0" fontId="10" fillId="9" borderId="6" xfId="3" applyFont="1" applyFill="1" applyBorder="1" applyAlignment="1">
      <alignment horizontal="center" vertical="center" wrapText="1"/>
    </xf>
    <xf numFmtId="0" fontId="9" fillId="0" borderId="0" xfId="3" applyFont="1"/>
    <xf numFmtId="0" fontId="10" fillId="9" borderId="5" xfId="3" applyFont="1" applyFill="1" applyBorder="1" applyAlignment="1">
      <alignment horizontal="center" vertical="center" wrapText="1"/>
    </xf>
    <xf numFmtId="2" fontId="10" fillId="7" borderId="31" xfId="3" applyNumberFormat="1" applyFont="1" applyFill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28" xfId="3" applyFont="1" applyBorder="1" applyAlignment="1">
      <alignment horizontal="center" vertical="center" wrapText="1"/>
    </xf>
    <xf numFmtId="0" fontId="10" fillId="0" borderId="28" xfId="3" applyFont="1" applyBorder="1" applyAlignment="1">
      <alignment horizontal="center" vertical="center" wrapText="1"/>
    </xf>
    <xf numFmtId="2" fontId="10" fillId="7" borderId="3" xfId="3" applyNumberFormat="1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2" fontId="10" fillId="7" borderId="7" xfId="3" applyNumberFormat="1" applyFont="1" applyFill="1" applyBorder="1" applyAlignment="1">
      <alignment horizontal="center" vertical="center" wrapText="1"/>
    </xf>
    <xf numFmtId="0" fontId="2" fillId="0" borderId="15" xfId="3" applyBorder="1" applyAlignment="1">
      <alignment horizontal="center" vertical="center" wrapText="1"/>
    </xf>
    <xf numFmtId="2" fontId="10" fillId="7" borderId="1" xfId="3" applyNumberFormat="1" applyFont="1" applyFill="1" applyBorder="1" applyAlignment="1">
      <alignment horizontal="center" vertical="center" wrapText="1"/>
    </xf>
    <xf numFmtId="0" fontId="9" fillId="8" borderId="18" xfId="3" applyFont="1" applyFill="1" applyBorder="1" applyAlignment="1">
      <alignment horizontal="center" vertical="center" wrapText="1"/>
    </xf>
    <xf numFmtId="0" fontId="9" fillId="8" borderId="1" xfId="3" applyFont="1" applyFill="1" applyBorder="1" applyAlignment="1">
      <alignment horizontal="center" vertical="center" wrapText="1"/>
    </xf>
    <xf numFmtId="0" fontId="10" fillId="8" borderId="6" xfId="3" applyFont="1" applyFill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2" fillId="0" borderId="0" xfId="3" applyAlignment="1">
      <alignment vertical="center" wrapText="1"/>
    </xf>
    <xf numFmtId="2" fontId="3" fillId="7" borderId="1" xfId="3" applyNumberFormat="1" applyFont="1" applyFill="1" applyBorder="1" applyAlignment="1">
      <alignment horizontal="center" vertical="center" wrapText="1"/>
    </xf>
    <xf numFmtId="0" fontId="2" fillId="5" borderId="7" xfId="3" applyFill="1" applyBorder="1" applyAlignment="1">
      <alignment horizontal="center" vertical="center" wrapText="1"/>
    </xf>
    <xf numFmtId="0" fontId="2" fillId="5" borderId="18" xfId="3" applyFill="1" applyBorder="1" applyAlignment="1">
      <alignment horizontal="center" vertical="center" wrapText="1"/>
    </xf>
    <xf numFmtId="0" fontId="2" fillId="5" borderId="1" xfId="3" applyFill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5" borderId="5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 wrapText="1"/>
    </xf>
    <xf numFmtId="0" fontId="3" fillId="4" borderId="7" xfId="3" applyFont="1" applyFill="1" applyBorder="1" applyAlignment="1">
      <alignment horizontal="center" vertical="center" wrapText="1"/>
    </xf>
    <xf numFmtId="0" fontId="3" fillId="0" borderId="0" xfId="3" applyFont="1" applyAlignment="1">
      <alignment vertical="center" wrapText="1"/>
    </xf>
    <xf numFmtId="0" fontId="2" fillId="4" borderId="1" xfId="3" applyFill="1" applyBorder="1" applyAlignment="1">
      <alignment horizontal="center" vertical="center" wrapText="1"/>
    </xf>
    <xf numFmtId="0" fontId="3" fillId="0" borderId="8" xfId="3" applyFont="1" applyBorder="1" applyAlignment="1">
      <alignment vertical="center" wrapText="1"/>
    </xf>
    <xf numFmtId="0" fontId="2" fillId="0" borderId="8" xfId="3" applyBorder="1" applyAlignment="1">
      <alignment vertical="center" wrapText="1"/>
    </xf>
    <xf numFmtId="0" fontId="3" fillId="4" borderId="6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2" fillId="0" borderId="3" xfId="3" applyBorder="1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2" fillId="11" borderId="7" xfId="3" applyFill="1" applyBorder="1" applyAlignment="1">
      <alignment horizontal="center" vertical="center" wrapText="1"/>
    </xf>
    <xf numFmtId="0" fontId="2" fillId="10" borderId="1" xfId="3" applyFill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2" fillId="7" borderId="18" xfId="3" applyFill="1" applyBorder="1" applyAlignment="1">
      <alignment horizontal="center" vertical="center" wrapText="1"/>
    </xf>
    <xf numFmtId="0" fontId="2" fillId="7" borderId="5" xfId="3" applyFill="1" applyBorder="1" applyAlignment="1">
      <alignment horizontal="center" vertical="center" wrapText="1"/>
    </xf>
    <xf numFmtId="0" fontId="2" fillId="7" borderId="1" xfId="3" applyFill="1" applyBorder="1" applyAlignment="1">
      <alignment horizontal="center" vertical="center" wrapText="1"/>
    </xf>
    <xf numFmtId="0" fontId="2" fillId="7" borderId="6" xfId="3" applyFill="1" applyBorder="1" applyAlignment="1">
      <alignment horizontal="center" vertical="center" wrapText="1"/>
    </xf>
    <xf numFmtId="0" fontId="3" fillId="7" borderId="6" xfId="3" applyFont="1" applyFill="1" applyBorder="1" applyAlignment="1">
      <alignment horizontal="center" vertical="center" wrapText="1"/>
    </xf>
    <xf numFmtId="0" fontId="3" fillId="7" borderId="5" xfId="3" applyFont="1" applyFill="1" applyBorder="1" applyAlignment="1">
      <alignment horizontal="center" vertical="center" wrapText="1"/>
    </xf>
    <xf numFmtId="2" fontId="3" fillId="8" borderId="1" xfId="3" applyNumberFormat="1" applyFont="1" applyFill="1" applyBorder="1" applyAlignment="1">
      <alignment horizontal="center" vertical="center" wrapText="1"/>
    </xf>
    <xf numFmtId="0" fontId="2" fillId="8" borderId="7" xfId="3" applyFill="1" applyBorder="1" applyAlignment="1">
      <alignment horizontal="center" vertical="center" wrapText="1"/>
    </xf>
    <xf numFmtId="0" fontId="3" fillId="9" borderId="25" xfId="3" applyFont="1" applyFill="1" applyBorder="1" applyAlignment="1">
      <alignment horizontal="center" vertical="center" wrapText="1"/>
    </xf>
    <xf numFmtId="0" fontId="3" fillId="9" borderId="5" xfId="3" applyFont="1" applyFill="1" applyBorder="1" applyAlignment="1">
      <alignment horizontal="center" vertical="center" wrapText="1"/>
    </xf>
    <xf numFmtId="0" fontId="3" fillId="9" borderId="10" xfId="3" applyFont="1" applyFill="1" applyBorder="1" applyAlignment="1">
      <alignment horizontal="center" vertical="center" wrapText="1"/>
    </xf>
    <xf numFmtId="0" fontId="2" fillId="2" borderId="1" xfId="3" applyFill="1" applyBorder="1" applyAlignment="1">
      <alignment horizontal="center" vertical="center" wrapText="1"/>
    </xf>
    <xf numFmtId="0" fontId="2" fillId="9" borderId="1" xfId="3" applyFill="1" applyBorder="1" applyAlignment="1">
      <alignment horizontal="center" vertical="center" wrapText="1"/>
    </xf>
    <xf numFmtId="0" fontId="3" fillId="9" borderId="6" xfId="3" applyFont="1" applyFill="1" applyBorder="1" applyAlignment="1">
      <alignment horizontal="center" vertical="center" wrapText="1"/>
    </xf>
    <xf numFmtId="0" fontId="3" fillId="0" borderId="0" xfId="3" applyFont="1"/>
    <xf numFmtId="0" fontId="3" fillId="2" borderId="6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2" fillId="0" borderId="8" xfId="3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2" fillId="0" borderId="7" xfId="3" applyBorder="1" applyAlignment="1">
      <alignment vertical="center" wrapText="1"/>
    </xf>
    <xf numFmtId="0" fontId="2" fillId="0" borderId="7" xfId="3" quotePrefix="1" applyBorder="1" applyAlignment="1">
      <alignment horizontal="center" vertical="center" wrapText="1"/>
    </xf>
    <xf numFmtId="0" fontId="3" fillId="2" borderId="10" xfId="3" applyFont="1" applyFill="1" applyBorder="1" applyAlignment="1">
      <alignment horizontal="center" vertical="center" wrapText="1"/>
    </xf>
    <xf numFmtId="0" fontId="3" fillId="0" borderId="6" xfId="3" applyFont="1" applyBorder="1" applyAlignment="1">
      <alignment vertical="center" wrapText="1"/>
    </xf>
    <xf numFmtId="0" fontId="3" fillId="0" borderId="9" xfId="3" applyFont="1" applyBorder="1" applyAlignment="1">
      <alignment vertical="center" wrapText="1"/>
    </xf>
    <xf numFmtId="0" fontId="2" fillId="0" borderId="3" xfId="3" applyBorder="1" applyAlignment="1">
      <alignment vertical="center" wrapText="1"/>
    </xf>
    <xf numFmtId="0" fontId="2" fillId="6" borderId="18" xfId="3" applyFill="1" applyBorder="1" applyAlignment="1">
      <alignment horizontal="center" vertical="center" wrapText="1"/>
    </xf>
    <xf numFmtId="0" fontId="2" fillId="0" borderId="4" xfId="3" applyBorder="1" applyAlignment="1">
      <alignment horizontal="left" vertical="center" wrapText="1"/>
    </xf>
    <xf numFmtId="1" fontId="3" fillId="0" borderId="7" xfId="3" applyNumberFormat="1" applyFont="1" applyBorder="1" applyAlignment="1">
      <alignment horizontal="center" vertical="center" wrapText="1"/>
    </xf>
    <xf numFmtId="0" fontId="12" fillId="0" borderId="0" xfId="3" applyFont="1"/>
    <xf numFmtId="0" fontId="3" fillId="0" borderId="1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2" fillId="6" borderId="28" xfId="3" applyFill="1" applyBorder="1" applyAlignment="1">
      <alignment horizontal="center" vertical="center" wrapText="1"/>
    </xf>
    <xf numFmtId="0" fontId="3" fillId="8" borderId="16" xfId="3" applyFont="1" applyFill="1" applyBorder="1" applyAlignment="1">
      <alignment horizontal="center" vertical="center" wrapText="1"/>
    </xf>
    <xf numFmtId="0" fontId="3" fillId="0" borderId="14" xfId="3" applyFont="1" applyBorder="1" applyAlignment="1">
      <alignment horizontal="left" vertical="center" wrapText="1"/>
    </xf>
    <xf numFmtId="0" fontId="3" fillId="0" borderId="21" xfId="3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2" fillId="0" borderId="0" xfId="3" applyAlignment="1">
      <alignment horizontal="center"/>
    </xf>
    <xf numFmtId="0" fontId="2" fillId="0" borderId="0" xfId="3" applyAlignment="1">
      <alignment horizontal="center" vertical="center"/>
    </xf>
    <xf numFmtId="0" fontId="2" fillId="4" borderId="25" xfId="3" applyFill="1" applyBorder="1" applyAlignment="1">
      <alignment horizontal="center" vertical="center" wrapText="1"/>
    </xf>
    <xf numFmtId="0" fontId="2" fillId="4" borderId="7" xfId="3" applyFill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2" fillId="6" borderId="7" xfId="3" applyFill="1" applyBorder="1" applyAlignment="1">
      <alignment horizontal="center" vertical="center" wrapText="1"/>
    </xf>
    <xf numFmtId="2" fontId="2" fillId="0" borderId="0" xfId="3" applyNumberFormat="1" applyAlignment="1">
      <alignment horizontal="center" vertical="center" wrapText="1"/>
    </xf>
    <xf numFmtId="0" fontId="3" fillId="0" borderId="0" xfId="3" applyFont="1" applyAlignment="1">
      <alignment horizontal="left" vertical="center" wrapText="1"/>
    </xf>
    <xf numFmtId="0" fontId="2" fillId="0" borderId="7" xfId="3" applyBorder="1"/>
    <xf numFmtId="0" fontId="2" fillId="2" borderId="7" xfId="3" applyFill="1" applyBorder="1" applyAlignment="1">
      <alignment horizontal="center" vertical="center" wrapText="1"/>
    </xf>
    <xf numFmtId="0" fontId="2" fillId="9" borderId="7" xfId="3" applyFill="1" applyBorder="1" applyAlignment="1">
      <alignment horizontal="center" vertical="center" wrapText="1"/>
    </xf>
    <xf numFmtId="0" fontId="2" fillId="7" borderId="7" xfId="3" applyFill="1" applyBorder="1" applyAlignment="1">
      <alignment horizontal="center" vertical="center" wrapText="1"/>
    </xf>
    <xf numFmtId="0" fontId="2" fillId="4" borderId="0" xfId="3" applyFill="1" applyAlignment="1">
      <alignment horizontal="center" vertical="center" wrapText="1"/>
    </xf>
    <xf numFmtId="0" fontId="3" fillId="4" borderId="10" xfId="3" applyFont="1" applyFill="1" applyBorder="1" applyAlignment="1">
      <alignment horizontal="center" vertical="center" wrapText="1"/>
    </xf>
    <xf numFmtId="0" fontId="3" fillId="5" borderId="0" xfId="3" applyFont="1" applyFill="1" applyAlignment="1">
      <alignment vertical="center" wrapText="1"/>
    </xf>
    <xf numFmtId="0" fontId="10" fillId="8" borderId="0" xfId="3" applyFont="1" applyFill="1" applyAlignment="1">
      <alignment vertical="center" wrapText="1"/>
    </xf>
    <xf numFmtId="0" fontId="8" fillId="0" borderId="0" xfId="3" applyFont="1" applyAlignment="1">
      <alignment horizontal="center" vertical="center" wrapText="1"/>
    </xf>
    <xf numFmtId="0" fontId="9" fillId="8" borderId="7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9" borderId="0" xfId="3" applyFont="1" applyFill="1" applyAlignment="1">
      <alignment vertical="center" wrapText="1"/>
    </xf>
    <xf numFmtId="0" fontId="9" fillId="9" borderId="7" xfId="3" applyFont="1" applyFill="1" applyBorder="1" applyAlignment="1">
      <alignment horizontal="center" vertical="center" wrapText="1"/>
    </xf>
    <xf numFmtId="0" fontId="2" fillId="6" borderId="41" xfId="3" applyFill="1" applyBorder="1" applyAlignment="1">
      <alignment horizontal="center" vertical="center" wrapText="1"/>
    </xf>
    <xf numFmtId="0" fontId="2" fillId="6" borderId="42" xfId="3" applyFill="1" applyBorder="1" applyAlignment="1">
      <alignment horizontal="center" vertical="center" wrapText="1"/>
    </xf>
    <xf numFmtId="0" fontId="2" fillId="0" borderId="14" xfId="3" applyBorder="1"/>
    <xf numFmtId="0" fontId="2" fillId="6" borderId="16" xfId="3" applyFill="1" applyBorder="1" applyAlignment="1">
      <alignment horizontal="center" vertical="center" wrapText="1"/>
    </xf>
    <xf numFmtId="0" fontId="2" fillId="2" borderId="24" xfId="3" applyFill="1" applyBorder="1" applyAlignment="1">
      <alignment horizontal="center" vertical="center" wrapText="1"/>
    </xf>
    <xf numFmtId="0" fontId="2" fillId="2" borderId="25" xfId="3" applyFill="1" applyBorder="1" applyAlignment="1">
      <alignment horizontal="center" vertical="center" wrapText="1"/>
    </xf>
    <xf numFmtId="0" fontId="3" fillId="9" borderId="24" xfId="3" applyFont="1" applyFill="1" applyBorder="1" applyAlignment="1">
      <alignment horizontal="center" vertical="center" wrapText="1"/>
    </xf>
    <xf numFmtId="0" fontId="2" fillId="0" borderId="16" xfId="3" applyBorder="1" applyAlignment="1">
      <alignment horizontal="center" vertical="center"/>
    </xf>
    <xf numFmtId="0" fontId="2" fillId="0" borderId="18" xfId="3" applyBorder="1" applyAlignment="1">
      <alignment horizontal="center" vertical="center"/>
    </xf>
    <xf numFmtId="0" fontId="2" fillId="7" borderId="43" xfId="3" applyFill="1" applyBorder="1" applyAlignment="1">
      <alignment horizontal="center" vertical="center" wrapText="1"/>
    </xf>
    <xf numFmtId="0" fontId="2" fillId="0" borderId="18" xfId="3" applyBorder="1" applyAlignment="1">
      <alignment horizontal="center"/>
    </xf>
    <xf numFmtId="0" fontId="2" fillId="4" borderId="44" xfId="3" applyFill="1" applyBorder="1" applyAlignment="1">
      <alignment horizontal="center" vertical="center" wrapText="1"/>
    </xf>
    <xf numFmtId="0" fontId="2" fillId="4" borderId="16" xfId="3" applyFill="1" applyBorder="1" applyAlignment="1">
      <alignment horizontal="center" vertical="center" wrapText="1"/>
    </xf>
    <xf numFmtId="0" fontId="2" fillId="4" borderId="18" xfId="3" applyFill="1" applyBorder="1" applyAlignment="1">
      <alignment horizontal="center" vertical="center" wrapText="1"/>
    </xf>
    <xf numFmtId="0" fontId="2" fillId="5" borderId="16" xfId="3" applyFill="1" applyBorder="1" applyAlignment="1">
      <alignment horizontal="center" vertical="center" wrapText="1"/>
    </xf>
    <xf numFmtId="0" fontId="9" fillId="8" borderId="16" xfId="3" applyFont="1" applyFill="1" applyBorder="1" applyAlignment="1">
      <alignment horizontal="center" vertical="center" wrapText="1"/>
    </xf>
    <xf numFmtId="0" fontId="9" fillId="9" borderId="16" xfId="3" applyFont="1" applyFill="1" applyBorder="1" applyAlignment="1">
      <alignment horizontal="center" vertical="center" wrapText="1"/>
    </xf>
    <xf numFmtId="0" fontId="2" fillId="0" borderId="32" xfId="3" applyBorder="1" applyAlignment="1">
      <alignment horizontal="center" vertical="center"/>
    </xf>
    <xf numFmtId="2" fontId="3" fillId="0" borderId="0" xfId="3" applyNumberFormat="1" applyFont="1" applyAlignment="1">
      <alignment horizontal="center" vertical="center" wrapText="1"/>
    </xf>
    <xf numFmtId="0" fontId="3" fillId="0" borderId="22" xfId="3" applyFont="1" applyBorder="1" applyAlignment="1">
      <alignment horizontal="center" vertical="center" wrapText="1"/>
    </xf>
    <xf numFmtId="0" fontId="3" fillId="2" borderId="24" xfId="3" applyFont="1" applyFill="1" applyBorder="1" applyAlignment="1">
      <alignment horizontal="center" vertical="center" wrapText="1"/>
    </xf>
    <xf numFmtId="0" fontId="7" fillId="0" borderId="14" xfId="3" applyFont="1" applyBorder="1" applyAlignment="1">
      <alignment horizontal="center" vertical="center" wrapText="1"/>
    </xf>
    <xf numFmtId="0" fontId="3" fillId="0" borderId="14" xfId="3" applyFont="1" applyBorder="1" applyAlignment="1">
      <alignment vertical="center" wrapText="1"/>
    </xf>
    <xf numFmtId="0" fontId="2" fillId="0" borderId="0" xfId="3" applyAlignment="1">
      <alignment horizontal="left" vertical="center" wrapText="1"/>
    </xf>
    <xf numFmtId="0" fontId="2" fillId="0" borderId="14" xfId="3" applyBorder="1" applyAlignment="1">
      <alignment horizontal="center" vertical="center" wrapText="1"/>
    </xf>
    <xf numFmtId="0" fontId="2" fillId="4" borderId="14" xfId="3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 wrapText="1"/>
    </xf>
    <xf numFmtId="0" fontId="2" fillId="7" borderId="0" xfId="3" applyFill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2" fontId="7" fillId="0" borderId="0" xfId="3" applyNumberFormat="1" applyFont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0" borderId="27" xfId="3" applyFont="1" applyBorder="1" applyAlignment="1">
      <alignment horizontal="center" vertical="center" wrapText="1"/>
    </xf>
    <xf numFmtId="2" fontId="3" fillId="3" borderId="0" xfId="3" applyNumberFormat="1" applyFont="1" applyFill="1" applyAlignment="1">
      <alignment horizontal="center" vertical="center" wrapText="1"/>
    </xf>
    <xf numFmtId="0" fontId="3" fillId="8" borderId="28" xfId="3" applyFont="1" applyFill="1" applyBorder="1" applyAlignment="1">
      <alignment horizontal="center" vertical="center" wrapText="1"/>
    </xf>
    <xf numFmtId="0" fontId="2" fillId="0" borderId="14" xfId="3" applyBorder="1" applyAlignment="1">
      <alignment horizontal="center" vertical="center"/>
    </xf>
    <xf numFmtId="0" fontId="2" fillId="0" borderId="33" xfId="3" applyBorder="1" applyAlignment="1">
      <alignment horizontal="center" vertical="center"/>
    </xf>
    <xf numFmtId="0" fontId="2" fillId="0" borderId="43" xfId="3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/>
    </xf>
    <xf numFmtId="0" fontId="2" fillId="0" borderId="15" xfId="3" applyBorder="1" applyAlignment="1">
      <alignment horizontal="center"/>
    </xf>
    <xf numFmtId="0" fontId="8" fillId="0" borderId="15" xfId="3" applyFont="1" applyBorder="1" applyAlignment="1">
      <alignment horizontal="center"/>
    </xf>
    <xf numFmtId="0" fontId="3" fillId="0" borderId="15" xfId="3" applyFont="1" applyBorder="1" applyAlignment="1">
      <alignment horizontal="center"/>
    </xf>
    <xf numFmtId="2" fontId="3" fillId="0" borderId="18" xfId="0" applyNumberFormat="1" applyFont="1" applyBorder="1" applyAlignment="1">
      <alignment horizontal="center" vertical="center" wrapText="1"/>
    </xf>
    <xf numFmtId="2" fontId="3" fillId="0" borderId="7" xfId="3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0" fillId="9" borderId="26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0" fillId="8" borderId="24" xfId="0" applyFont="1" applyFill="1" applyBorder="1" applyAlignment="1">
      <alignment horizontal="center" vertical="center" wrapText="1"/>
    </xf>
    <xf numFmtId="0" fontId="10" fillId="8" borderId="26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17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left" vertical="center" wrapText="1"/>
    </xf>
    <xf numFmtId="0" fontId="12" fillId="0" borderId="37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0" fontId="3" fillId="8" borderId="16" xfId="3" applyFont="1" applyFill="1" applyBorder="1" applyAlignment="1">
      <alignment horizontal="center" vertical="center" wrapText="1"/>
    </xf>
    <xf numFmtId="0" fontId="3" fillId="8" borderId="27" xfId="3" applyFont="1" applyFill="1" applyBorder="1" applyAlignment="1">
      <alignment horizontal="center" vertical="center" wrapText="1"/>
    </xf>
    <xf numFmtId="0" fontId="3" fillId="8" borderId="5" xfId="3" applyFont="1" applyFill="1" applyBorder="1" applyAlignment="1">
      <alignment horizontal="center" vertical="center" wrapText="1"/>
    </xf>
    <xf numFmtId="0" fontId="3" fillId="8" borderId="35" xfId="3" applyFont="1" applyFill="1" applyBorder="1" applyAlignment="1">
      <alignment horizontal="center" vertical="center" wrapText="1"/>
    </xf>
    <xf numFmtId="0" fontId="2" fillId="8" borderId="1" xfId="3" applyFill="1" applyBorder="1" applyAlignment="1">
      <alignment horizontal="center" vertical="center" wrapText="1"/>
    </xf>
    <xf numFmtId="0" fontId="2" fillId="8" borderId="28" xfId="3" applyFill="1" applyBorder="1" applyAlignment="1">
      <alignment horizontal="center" vertical="center" wrapText="1"/>
    </xf>
    <xf numFmtId="0" fontId="3" fillId="0" borderId="14" xfId="3" applyFont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0" fontId="10" fillId="9" borderId="24" xfId="3" applyFont="1" applyFill="1" applyBorder="1" applyAlignment="1">
      <alignment horizontal="center" vertical="center" wrapText="1"/>
    </xf>
    <xf numFmtId="0" fontId="10" fillId="9" borderId="26" xfId="3" applyFont="1" applyFill="1" applyBorder="1" applyAlignment="1">
      <alignment horizontal="center" vertical="center" wrapText="1"/>
    </xf>
    <xf numFmtId="0" fontId="10" fillId="9" borderId="5" xfId="3" applyFont="1" applyFill="1" applyBorder="1" applyAlignment="1">
      <alignment horizontal="center" vertical="center" wrapText="1"/>
    </xf>
    <xf numFmtId="0" fontId="10" fillId="9" borderId="6" xfId="3" applyFont="1" applyFill="1" applyBorder="1" applyAlignment="1">
      <alignment horizontal="center" vertical="center" wrapText="1"/>
    </xf>
    <xf numFmtId="0" fontId="10" fillId="9" borderId="7" xfId="3" applyFont="1" applyFill="1" applyBorder="1" applyAlignment="1">
      <alignment horizontal="center" vertical="center" wrapText="1"/>
    </xf>
    <xf numFmtId="0" fontId="10" fillId="9" borderId="3" xfId="3" applyFont="1" applyFill="1" applyBorder="1" applyAlignment="1">
      <alignment horizontal="center" vertical="center" wrapText="1"/>
    </xf>
    <xf numFmtId="0" fontId="2" fillId="8" borderId="5" xfId="3" applyFill="1" applyBorder="1" applyAlignment="1">
      <alignment horizontal="center" vertical="center" wrapText="1"/>
    </xf>
    <xf numFmtId="0" fontId="2" fillId="8" borderId="9" xfId="3" applyFill="1" applyBorder="1" applyAlignment="1">
      <alignment horizontal="center" vertical="center" wrapText="1"/>
    </xf>
    <xf numFmtId="0" fontId="2" fillId="8" borderId="6" xfId="3" applyFill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9" borderId="1" xfId="3" applyFont="1" applyFill="1" applyBorder="1" applyAlignment="1">
      <alignment horizontal="center" vertical="center" wrapText="1"/>
    </xf>
    <xf numFmtId="0" fontId="3" fillId="9" borderId="7" xfId="3" applyFont="1" applyFill="1" applyBorder="1" applyAlignment="1">
      <alignment horizontal="center" vertical="center" wrapText="1"/>
    </xf>
    <xf numFmtId="0" fontId="2" fillId="8" borderId="7" xfId="3" applyFill="1" applyBorder="1" applyAlignment="1">
      <alignment horizontal="center" vertical="center" wrapText="1"/>
    </xf>
    <xf numFmtId="0" fontId="2" fillId="8" borderId="2" xfId="3" applyFill="1" applyBorder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0" fontId="9" fillId="0" borderId="7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9" fillId="0" borderId="29" xfId="3" applyFont="1" applyBorder="1" applyAlignment="1">
      <alignment horizontal="center" vertical="center" wrapText="1"/>
    </xf>
    <xf numFmtId="0" fontId="9" fillId="0" borderId="30" xfId="3" applyFont="1" applyBorder="1" applyAlignment="1">
      <alignment horizontal="center" vertical="center" wrapText="1"/>
    </xf>
    <xf numFmtId="0" fontId="10" fillId="9" borderId="14" xfId="3" applyFont="1" applyFill="1" applyBorder="1" applyAlignment="1">
      <alignment horizontal="left" vertical="center" wrapText="1"/>
    </xf>
    <xf numFmtId="0" fontId="10" fillId="9" borderId="0" xfId="3" applyFont="1" applyFill="1" applyAlignment="1">
      <alignment horizontal="left" vertical="center" wrapText="1"/>
    </xf>
    <xf numFmtId="0" fontId="3" fillId="0" borderId="16" xfId="3" applyFont="1" applyBorder="1" applyAlignment="1">
      <alignment horizontal="center" vertical="center" wrapText="1"/>
    </xf>
    <xf numFmtId="0" fontId="2" fillId="0" borderId="1" xfId="3" applyBorder="1" applyAlignment="1">
      <alignment horizontal="center" vertical="center" wrapText="1"/>
    </xf>
    <xf numFmtId="0" fontId="2" fillId="0" borderId="5" xfId="3" applyBorder="1" applyAlignment="1">
      <alignment horizontal="center" vertical="center" wrapText="1"/>
    </xf>
    <xf numFmtId="0" fontId="2" fillId="0" borderId="9" xfId="3" applyBorder="1" applyAlignment="1">
      <alignment horizontal="center" vertical="center" wrapText="1"/>
    </xf>
    <xf numFmtId="0" fontId="2" fillId="0" borderId="6" xfId="3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10" fillId="8" borderId="14" xfId="3" applyFont="1" applyFill="1" applyBorder="1" applyAlignment="1">
      <alignment horizontal="left" vertical="center" wrapText="1"/>
    </xf>
    <xf numFmtId="0" fontId="10" fillId="8" borderId="0" xfId="3" applyFont="1" applyFill="1" applyAlignment="1">
      <alignment horizontal="left" vertical="center" wrapText="1"/>
    </xf>
    <xf numFmtId="0" fontId="10" fillId="8" borderId="24" xfId="3" applyFont="1" applyFill="1" applyBorder="1" applyAlignment="1">
      <alignment horizontal="center" vertical="center" wrapText="1"/>
    </xf>
    <xf numFmtId="0" fontId="10" fillId="8" borderId="26" xfId="3" applyFont="1" applyFill="1" applyBorder="1" applyAlignment="1">
      <alignment horizontal="center" vertical="center" wrapText="1"/>
    </xf>
    <xf numFmtId="0" fontId="10" fillId="8" borderId="5" xfId="3" applyFont="1" applyFill="1" applyBorder="1" applyAlignment="1">
      <alignment horizontal="center" vertical="center" wrapText="1"/>
    </xf>
    <xf numFmtId="0" fontId="10" fillId="8" borderId="6" xfId="3" applyFont="1" applyFill="1" applyBorder="1" applyAlignment="1">
      <alignment horizontal="center" vertical="center" wrapText="1"/>
    </xf>
    <xf numFmtId="0" fontId="10" fillId="8" borderId="7" xfId="3" applyFont="1" applyFill="1" applyBorder="1" applyAlignment="1">
      <alignment horizontal="center" vertical="center" wrapText="1"/>
    </xf>
    <xf numFmtId="0" fontId="10" fillId="8" borderId="3" xfId="3" applyFont="1" applyFill="1" applyBorder="1" applyAlignment="1">
      <alignment horizontal="center" vertical="center" wrapText="1"/>
    </xf>
    <xf numFmtId="0" fontId="3" fillId="4" borderId="7" xfId="3" applyFont="1" applyFill="1" applyBorder="1" applyAlignment="1">
      <alignment horizontal="center" vertical="center" wrapText="1"/>
    </xf>
    <xf numFmtId="0" fontId="3" fillId="4" borderId="2" xfId="3" applyFont="1" applyFill="1" applyBorder="1" applyAlignment="1">
      <alignment horizontal="center" vertical="center" wrapText="1"/>
    </xf>
    <xf numFmtId="0" fontId="2" fillId="0" borderId="7" xfId="3" applyBorder="1" applyAlignment="1">
      <alignment horizontal="center" vertical="center" wrapText="1"/>
    </xf>
    <xf numFmtId="0" fontId="2" fillId="0" borderId="2" xfId="3" applyBorder="1" applyAlignment="1">
      <alignment horizontal="center" vertical="center" wrapText="1"/>
    </xf>
    <xf numFmtId="0" fontId="3" fillId="5" borderId="14" xfId="3" applyFont="1" applyFill="1" applyBorder="1" applyAlignment="1">
      <alignment horizontal="left" vertical="center" wrapText="1"/>
    </xf>
    <xf numFmtId="0" fontId="3" fillId="5" borderId="0" xfId="3" applyFont="1" applyFill="1" applyAlignment="1">
      <alignment horizontal="left" vertical="center" wrapText="1"/>
    </xf>
    <xf numFmtId="0" fontId="3" fillId="5" borderId="24" xfId="3" applyFont="1" applyFill="1" applyBorder="1" applyAlignment="1">
      <alignment horizontal="center" vertical="center" wrapText="1"/>
    </xf>
    <xf numFmtId="0" fontId="3" fillId="5" borderId="26" xfId="3" applyFont="1" applyFill="1" applyBorder="1" applyAlignment="1">
      <alignment horizontal="center" vertical="center" wrapText="1"/>
    </xf>
    <xf numFmtId="0" fontId="3" fillId="5" borderId="5" xfId="3" applyFont="1" applyFill="1" applyBorder="1" applyAlignment="1">
      <alignment horizontal="center" vertical="center" wrapText="1"/>
    </xf>
    <xf numFmtId="0" fontId="3" fillId="5" borderId="6" xfId="3" applyFont="1" applyFill="1" applyBorder="1" applyAlignment="1">
      <alignment horizontal="center" vertical="center" wrapText="1"/>
    </xf>
    <xf numFmtId="0" fontId="3" fillId="5" borderId="7" xfId="3" applyFont="1" applyFill="1" applyBorder="1" applyAlignment="1">
      <alignment horizontal="center" vertical="center" wrapText="1"/>
    </xf>
    <xf numFmtId="0" fontId="3" fillId="5" borderId="3" xfId="3" applyFont="1" applyFill="1" applyBorder="1" applyAlignment="1">
      <alignment horizontal="center" vertical="center" wrapText="1"/>
    </xf>
    <xf numFmtId="0" fontId="3" fillId="4" borderId="24" xfId="3" applyFont="1" applyFill="1" applyBorder="1" applyAlignment="1">
      <alignment horizontal="center" vertical="center" wrapText="1"/>
    </xf>
    <xf numFmtId="0" fontId="3" fillId="4" borderId="26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3" fillId="4" borderId="6" xfId="3" applyFont="1" applyFill="1" applyBorder="1" applyAlignment="1">
      <alignment horizontal="center" vertical="center" wrapText="1"/>
    </xf>
    <xf numFmtId="0" fontId="3" fillId="4" borderId="3" xfId="3" applyFont="1" applyFill="1" applyBorder="1" applyAlignment="1">
      <alignment horizontal="center" vertical="center" wrapText="1"/>
    </xf>
    <xf numFmtId="0" fontId="3" fillId="9" borderId="5" xfId="3" applyFont="1" applyFill="1" applyBorder="1" applyAlignment="1">
      <alignment horizontal="center" vertical="center" wrapText="1"/>
    </xf>
    <xf numFmtId="0" fontId="3" fillId="9" borderId="6" xfId="3" applyFont="1" applyFill="1" applyBorder="1" applyAlignment="1">
      <alignment horizontal="center" vertical="center" wrapText="1"/>
    </xf>
    <xf numFmtId="0" fontId="2" fillId="0" borderId="5" xfId="3" quotePrefix="1" applyBorder="1" applyAlignment="1">
      <alignment horizontal="center" vertical="center" wrapText="1"/>
    </xf>
    <xf numFmtId="0" fontId="4" fillId="0" borderId="5" xfId="3" quotePrefix="1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3" fillId="4" borderId="14" xfId="3" applyFont="1" applyFill="1" applyBorder="1" applyAlignment="1">
      <alignment horizontal="left" vertical="center" wrapText="1"/>
    </xf>
    <xf numFmtId="0" fontId="3" fillId="4" borderId="0" xfId="3" applyFont="1" applyFill="1" applyAlignment="1">
      <alignment horizontal="left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3" fillId="7" borderId="24" xfId="3" applyFont="1" applyFill="1" applyBorder="1" applyAlignment="1">
      <alignment horizontal="center" vertical="center" wrapText="1"/>
    </xf>
    <xf numFmtId="0" fontId="3" fillId="7" borderId="26" xfId="3" applyFont="1" applyFill="1" applyBorder="1" applyAlignment="1">
      <alignment horizontal="center" vertical="center" wrapText="1"/>
    </xf>
    <xf numFmtId="0" fontId="2" fillId="7" borderId="5" xfId="3" applyFill="1" applyBorder="1" applyAlignment="1">
      <alignment horizontal="center" vertical="center" wrapText="1"/>
    </xf>
    <xf numFmtId="0" fontId="2" fillId="7" borderId="6" xfId="3" applyFill="1" applyBorder="1" applyAlignment="1">
      <alignment horizontal="center" vertical="center" wrapText="1"/>
    </xf>
    <xf numFmtId="0" fontId="3" fillId="7" borderId="7" xfId="3" applyFont="1" applyFill="1" applyBorder="1" applyAlignment="1">
      <alignment horizontal="center" vertical="center" wrapText="1"/>
    </xf>
    <xf numFmtId="0" fontId="3" fillId="7" borderId="3" xfId="3" applyFont="1" applyFill="1" applyBorder="1" applyAlignment="1">
      <alignment horizontal="center" vertical="center" wrapText="1"/>
    </xf>
    <xf numFmtId="0" fontId="3" fillId="9" borderId="21" xfId="3" applyFont="1" applyFill="1" applyBorder="1" applyAlignment="1">
      <alignment horizontal="center" vertical="center" wrapText="1"/>
    </xf>
    <xf numFmtId="0" fontId="3" fillId="2" borderId="24" xfId="3" applyFont="1" applyFill="1" applyBorder="1" applyAlignment="1">
      <alignment horizontal="center" vertical="center" wrapText="1"/>
    </xf>
    <xf numFmtId="0" fontId="3" fillId="2" borderId="26" xfId="3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3" fillId="2" borderId="6" xfId="3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7" xfId="3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/>
    </xf>
    <xf numFmtId="0" fontId="3" fillId="8" borderId="9" xfId="3" applyFont="1" applyFill="1" applyBorder="1" applyAlignment="1">
      <alignment horizontal="center" vertical="center" wrapText="1"/>
    </xf>
    <xf numFmtId="0" fontId="3" fillId="8" borderId="6" xfId="3" applyFont="1" applyFill="1" applyBorder="1" applyAlignment="1">
      <alignment horizontal="center" vertical="center" wrapText="1"/>
    </xf>
    <xf numFmtId="0" fontId="3" fillId="6" borderId="7" xfId="3" applyFont="1" applyFill="1" applyBorder="1" applyAlignment="1">
      <alignment horizontal="center" vertical="center" wrapText="1"/>
    </xf>
    <xf numFmtId="0" fontId="3" fillId="6" borderId="3" xfId="3" applyFont="1" applyFill="1" applyBorder="1" applyAlignment="1">
      <alignment horizontal="center" vertical="center" wrapText="1"/>
    </xf>
    <xf numFmtId="0" fontId="3" fillId="6" borderId="16" xfId="3" applyFont="1" applyFill="1" applyBorder="1" applyAlignment="1">
      <alignment horizontal="center" vertical="center" wrapText="1"/>
    </xf>
    <xf numFmtId="0" fontId="3" fillId="2" borderId="14" xfId="3" applyFont="1" applyFill="1" applyBorder="1" applyAlignment="1">
      <alignment horizontal="left" vertical="center" wrapText="1"/>
    </xf>
    <xf numFmtId="0" fontId="3" fillId="2" borderId="0" xfId="3" applyFont="1" applyFill="1" applyAlignment="1">
      <alignment horizontal="left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0" borderId="40" xfId="3" applyFont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3" fillId="6" borderId="5" xfId="3" applyFont="1" applyFill="1" applyBorder="1" applyAlignment="1">
      <alignment horizontal="center" vertical="center" wrapText="1"/>
    </xf>
    <xf numFmtId="0" fontId="3" fillId="6" borderId="6" xfId="3" applyFont="1" applyFill="1" applyBorder="1" applyAlignment="1">
      <alignment horizontal="center" vertical="center" wrapText="1"/>
    </xf>
    <xf numFmtId="0" fontId="3" fillId="0" borderId="21" xfId="3" applyFont="1" applyBorder="1" applyAlignment="1">
      <alignment horizontal="left" vertical="center" wrapText="1"/>
    </xf>
    <xf numFmtId="0" fontId="3" fillId="0" borderId="3" xfId="3" applyFont="1" applyBorder="1" applyAlignment="1">
      <alignment horizontal="left" vertical="center" wrapText="1"/>
    </xf>
    <xf numFmtId="0" fontId="3" fillId="6" borderId="1" xfId="3" applyFont="1" applyFill="1" applyBorder="1" applyAlignment="1">
      <alignment horizontal="center" vertical="center" wrapText="1"/>
    </xf>
    <xf numFmtId="0" fontId="3" fillId="0" borderId="15" xfId="3" applyFont="1" applyBorder="1" applyAlignment="1">
      <alignment horizontal="left" vertical="center" wrapText="1"/>
    </xf>
    <xf numFmtId="0" fontId="12" fillId="0" borderId="39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3" fillId="6" borderId="36" xfId="3" applyFont="1" applyFill="1" applyBorder="1" applyAlignment="1">
      <alignment horizontal="center" vertical="center" wrapText="1"/>
    </xf>
    <xf numFmtId="0" fontId="3" fillId="6" borderId="37" xfId="3" applyFont="1" applyFill="1" applyBorder="1" applyAlignment="1">
      <alignment horizontal="center" vertical="center" wrapText="1"/>
    </xf>
    <xf numFmtId="0" fontId="3" fillId="6" borderId="38" xfId="3" applyFont="1" applyFill="1" applyBorder="1" applyAlignment="1">
      <alignment horizontal="center" vertical="center" wrapText="1"/>
    </xf>
    <xf numFmtId="0" fontId="13" fillId="0" borderId="36" xfId="3" applyFont="1" applyBorder="1" applyAlignment="1">
      <alignment horizontal="right" vertical="center" wrapText="1"/>
    </xf>
    <xf numFmtId="0" fontId="13" fillId="0" borderId="37" xfId="3" applyFont="1" applyBorder="1" applyAlignment="1">
      <alignment horizontal="right" vertical="center" wrapText="1"/>
    </xf>
    <xf numFmtId="0" fontId="13" fillId="0" borderId="14" xfId="3" applyFont="1" applyBorder="1" applyAlignment="1">
      <alignment horizontal="right" vertical="center" wrapText="1"/>
    </xf>
    <xf numFmtId="0" fontId="13" fillId="0" borderId="0" xfId="3" applyFont="1" applyAlignment="1">
      <alignment horizontal="right" vertical="center" wrapText="1"/>
    </xf>
    <xf numFmtId="0" fontId="13" fillId="0" borderId="33" xfId="3" applyFont="1" applyBorder="1" applyAlignment="1">
      <alignment horizontal="right" vertical="center" wrapText="1"/>
    </xf>
    <xf numFmtId="0" fontId="13" fillId="0" borderId="34" xfId="3" applyFont="1" applyBorder="1" applyAlignment="1">
      <alignment horizontal="right" vertical="center" wrapText="1"/>
    </xf>
    <xf numFmtId="164" fontId="14" fillId="0" borderId="38" xfId="3" applyNumberFormat="1" applyFont="1" applyBorder="1" applyAlignment="1">
      <alignment horizontal="center" vertical="center"/>
    </xf>
    <xf numFmtId="164" fontId="14" fillId="0" borderId="15" xfId="3" applyNumberFormat="1" applyFont="1" applyBorder="1" applyAlignment="1">
      <alignment horizontal="center" vertical="center"/>
    </xf>
    <xf numFmtId="164" fontId="14" fillId="0" borderId="45" xfId="3" applyNumberFormat="1" applyFont="1" applyBorder="1" applyAlignment="1">
      <alignment horizontal="center" vertical="center"/>
    </xf>
    <xf numFmtId="0" fontId="3" fillId="6" borderId="17" xfId="3" applyFont="1" applyFill="1" applyBorder="1" applyAlignment="1">
      <alignment horizontal="center" vertical="center" wrapText="1"/>
    </xf>
  </cellXfs>
  <cellStyles count="4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50798AED-88EE-4568-BC0D-92A4CD461440}"/>
  </cellStyles>
  <dxfs count="0"/>
  <tableStyles count="0" defaultTableStyle="TableStyleMedium2" defaultPivotStyle="PivotStyleLight16"/>
  <colors>
    <mruColors>
      <color rgb="FF1ADF0B"/>
      <color rgb="FFFFFFCC"/>
      <color rgb="FFFFFF99"/>
      <color rgb="FFA8A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368340</xdr:colOff>
      <xdr:row>0</xdr:row>
      <xdr:rowOff>93679</xdr:rowOff>
    </xdr:from>
    <xdr:to>
      <xdr:col>2</xdr:col>
      <xdr:colOff>1696027</xdr:colOff>
      <xdr:row>0</xdr:row>
      <xdr:rowOff>1217450</xdr:rowOff>
    </xdr:to>
    <xdr:pic>
      <xdr:nvPicPr>
        <xdr:cNvPr id="6" name="Image 5" descr="Une image contenant texte, Graphique, Police, graphisme&#10;&#10;Le contenu généré par l’IA peut être incorrect.">
          <a:extLst>
            <a:ext uri="{FF2B5EF4-FFF2-40B4-BE49-F238E27FC236}">
              <a16:creationId xmlns:a16="http://schemas.microsoft.com/office/drawing/2014/main" id="{B7F37FC9-8B62-4700-BF7E-452C52664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036" y="93679"/>
          <a:ext cx="1899187" cy="11237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368340</xdr:colOff>
      <xdr:row>0</xdr:row>
      <xdr:rowOff>93679</xdr:rowOff>
    </xdr:from>
    <xdr:ext cx="1894425" cy="1123771"/>
    <xdr:pic>
      <xdr:nvPicPr>
        <xdr:cNvPr id="2" name="Image 1" descr="Une image contenant texte, Graphique, Police, graphisme&#10;&#10;Le contenu généré par l’IA peut être incorrect.">
          <a:extLst>
            <a:ext uri="{FF2B5EF4-FFF2-40B4-BE49-F238E27FC236}">
              <a16:creationId xmlns:a16="http://schemas.microsoft.com/office/drawing/2014/main" id="{C262C74B-6F2A-4B90-8D18-58FE9A06A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252" y="93679"/>
          <a:ext cx="1894425" cy="112377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  <pageSetUpPr fitToPage="1"/>
  </sheetPr>
  <dimension ref="A1:H209"/>
  <sheetViews>
    <sheetView tabSelected="1" view="pageBreakPreview" zoomScale="115" zoomScaleNormal="100" zoomScaleSheetLayoutView="115" zoomScalePageLayoutView="85" workbookViewId="0">
      <selection activeCell="H14" sqref="H14"/>
    </sheetView>
  </sheetViews>
  <sheetFormatPr baseColWidth="10" defaultColWidth="11.453125" defaultRowHeight="13" x14ac:dyDescent="0.25"/>
  <cols>
    <col min="1" max="1" width="6" style="4" customWidth="1"/>
    <col min="2" max="2" width="8" style="4" customWidth="1"/>
    <col min="3" max="3" width="38.26953125" style="1" customWidth="1"/>
    <col min="4" max="4" width="29.26953125" style="1" customWidth="1"/>
    <col min="5" max="5" width="20.1796875" style="1" customWidth="1"/>
    <col min="6" max="6" width="21.453125" style="1" customWidth="1"/>
    <col min="7" max="7" width="12.81640625" style="1" customWidth="1"/>
    <col min="8" max="8" width="16.26953125" style="1" customWidth="1"/>
  </cols>
  <sheetData>
    <row r="1" spans="1:8" ht="105.4" customHeight="1" thickBot="1" x14ac:dyDescent="0.3">
      <c r="A1" s="308"/>
      <c r="B1" s="309"/>
      <c r="C1" s="309"/>
      <c r="D1" s="407" t="s">
        <v>225</v>
      </c>
      <c r="E1" s="407"/>
      <c r="F1" s="407"/>
      <c r="G1" s="407"/>
      <c r="H1" s="408"/>
    </row>
    <row r="2" spans="1:8" s="149" customFormat="1" ht="43.15" customHeight="1" x14ac:dyDescent="0.3">
      <c r="A2" s="433" t="s">
        <v>228</v>
      </c>
      <c r="B2" s="434"/>
      <c r="C2" s="434"/>
      <c r="D2" s="434"/>
      <c r="E2" s="434"/>
      <c r="F2" s="434"/>
      <c r="G2" s="434"/>
      <c r="H2" s="435"/>
    </row>
    <row r="3" spans="1:8" ht="18.75" customHeight="1" x14ac:dyDescent="0.25">
      <c r="A3" s="310" t="s">
        <v>8</v>
      </c>
      <c r="B3" s="311"/>
      <c r="C3" s="311"/>
      <c r="D3" s="311"/>
      <c r="E3" s="311"/>
      <c r="F3" s="311"/>
      <c r="G3" s="311"/>
      <c r="H3" s="312"/>
    </row>
    <row r="4" spans="1:8" ht="12.75" customHeight="1" x14ac:dyDescent="0.25">
      <c r="A4" s="323" t="s">
        <v>52</v>
      </c>
      <c r="B4" s="324"/>
      <c r="C4" s="324"/>
      <c r="D4" s="324"/>
      <c r="E4" s="324"/>
      <c r="F4" s="324"/>
      <c r="G4" s="324"/>
      <c r="H4" s="325"/>
    </row>
    <row r="5" spans="1:8" x14ac:dyDescent="0.25">
      <c r="A5" s="77"/>
      <c r="H5" s="78"/>
    </row>
    <row r="6" spans="1:8" ht="12.75" customHeight="1" x14ac:dyDescent="0.25">
      <c r="A6" s="326" t="s">
        <v>5</v>
      </c>
      <c r="B6" s="331" t="s">
        <v>173</v>
      </c>
      <c r="C6" s="327" t="s">
        <v>0</v>
      </c>
      <c r="D6" s="331" t="s">
        <v>175</v>
      </c>
      <c r="E6" s="327" t="s">
        <v>1</v>
      </c>
      <c r="F6" s="328" t="s">
        <v>33</v>
      </c>
      <c r="G6" s="329"/>
      <c r="H6" s="330"/>
    </row>
    <row r="7" spans="1:8" ht="25" x14ac:dyDescent="0.25">
      <c r="A7" s="326"/>
      <c r="B7" s="332"/>
      <c r="C7" s="327"/>
      <c r="D7" s="332"/>
      <c r="E7" s="327"/>
      <c r="F7" s="15" t="s">
        <v>27</v>
      </c>
      <c r="G7" s="15" t="s">
        <v>14</v>
      </c>
      <c r="H7" s="79" t="s">
        <v>17</v>
      </c>
    </row>
    <row r="8" spans="1:8" x14ac:dyDescent="0.25">
      <c r="A8" s="77"/>
      <c r="G8" s="135"/>
      <c r="H8" s="80"/>
    </row>
    <row r="9" spans="1:8" ht="12.75" customHeight="1" x14ac:dyDescent="0.25">
      <c r="A9" s="313">
        <v>1</v>
      </c>
      <c r="B9" s="314" t="s">
        <v>204</v>
      </c>
      <c r="C9" s="319" t="s">
        <v>54</v>
      </c>
      <c r="D9" s="334" t="s">
        <v>174</v>
      </c>
      <c r="E9" s="320" t="s">
        <v>30</v>
      </c>
      <c r="F9" s="15" t="s">
        <v>24</v>
      </c>
      <c r="G9" s="27" t="s">
        <v>91</v>
      </c>
      <c r="H9" s="304">
        <v>24</v>
      </c>
    </row>
    <row r="10" spans="1:8" x14ac:dyDescent="0.25">
      <c r="A10" s="313"/>
      <c r="B10" s="315"/>
      <c r="C10" s="318"/>
      <c r="D10" s="335"/>
      <c r="E10" s="321"/>
      <c r="F10" s="15" t="s">
        <v>25</v>
      </c>
      <c r="G10" s="27" t="s">
        <v>87</v>
      </c>
      <c r="H10" s="304">
        <v>25</v>
      </c>
    </row>
    <row r="11" spans="1:8" x14ac:dyDescent="0.25">
      <c r="A11" s="313"/>
      <c r="B11" s="315"/>
      <c r="C11" s="318"/>
      <c r="D11" s="335"/>
      <c r="E11" s="321"/>
      <c r="F11" s="15" t="s">
        <v>26</v>
      </c>
      <c r="G11" s="27" t="s">
        <v>88</v>
      </c>
      <c r="H11" s="304">
        <v>26</v>
      </c>
    </row>
    <row r="12" spans="1:8" x14ac:dyDescent="0.25">
      <c r="A12" s="313"/>
      <c r="B12" s="315"/>
      <c r="C12" s="318"/>
      <c r="D12" s="335"/>
      <c r="E12" s="321"/>
      <c r="F12" s="15" t="s">
        <v>28</v>
      </c>
      <c r="G12" s="27" t="s">
        <v>89</v>
      </c>
      <c r="H12" s="304">
        <v>27</v>
      </c>
    </row>
    <row r="13" spans="1:8" ht="26.65" customHeight="1" x14ac:dyDescent="0.25">
      <c r="A13" s="313"/>
      <c r="B13" s="316"/>
      <c r="C13" s="318"/>
      <c r="D13" s="336"/>
      <c r="E13" s="322"/>
      <c r="F13" s="15" t="s">
        <v>29</v>
      </c>
      <c r="G13" s="27" t="s">
        <v>90</v>
      </c>
      <c r="H13" s="304">
        <v>28</v>
      </c>
    </row>
    <row r="14" spans="1:8" x14ac:dyDescent="0.25">
      <c r="A14" s="77"/>
      <c r="G14" s="135"/>
      <c r="H14" s="80"/>
    </row>
    <row r="15" spans="1:8" ht="12.75" customHeight="1" x14ac:dyDescent="0.25">
      <c r="A15" s="323" t="s">
        <v>51</v>
      </c>
      <c r="B15" s="324"/>
      <c r="C15" s="324"/>
      <c r="D15" s="324"/>
      <c r="E15" s="324"/>
      <c r="F15" s="324"/>
      <c r="G15" s="324"/>
      <c r="H15" s="325"/>
    </row>
    <row r="16" spans="1:8" x14ac:dyDescent="0.25">
      <c r="A16" s="84"/>
      <c r="B16" s="8"/>
      <c r="C16" s="12"/>
      <c r="D16" s="12"/>
      <c r="E16" s="3"/>
      <c r="F16" s="3"/>
      <c r="G16" s="3"/>
      <c r="H16" s="85"/>
    </row>
    <row r="17" spans="1:8" ht="27" customHeight="1" x14ac:dyDescent="0.25">
      <c r="A17" s="326" t="s">
        <v>5</v>
      </c>
      <c r="B17" s="331" t="s">
        <v>173</v>
      </c>
      <c r="C17" s="327" t="s">
        <v>0</v>
      </c>
      <c r="D17" s="331" t="s">
        <v>222</v>
      </c>
      <c r="E17" s="327" t="s">
        <v>1</v>
      </c>
      <c r="F17" s="328" t="s">
        <v>45</v>
      </c>
      <c r="G17" s="329"/>
      <c r="H17" s="330"/>
    </row>
    <row r="18" spans="1:8" ht="25" x14ac:dyDescent="0.25">
      <c r="A18" s="326"/>
      <c r="B18" s="332"/>
      <c r="C18" s="327"/>
      <c r="D18" s="332"/>
      <c r="E18" s="327"/>
      <c r="F18" s="15" t="s">
        <v>15</v>
      </c>
      <c r="G18" s="15" t="s">
        <v>14</v>
      </c>
      <c r="H18" s="79" t="s">
        <v>17</v>
      </c>
    </row>
    <row r="19" spans="1:8" ht="13.5" customHeight="1" x14ac:dyDescent="0.25">
      <c r="A19" s="86"/>
      <c r="B19" s="5"/>
      <c r="C19" s="5"/>
      <c r="D19" s="5"/>
      <c r="E19" s="5"/>
      <c r="F19" s="2"/>
      <c r="G19" s="2"/>
      <c r="H19" s="87"/>
    </row>
    <row r="20" spans="1:8" ht="27" customHeight="1" x14ac:dyDescent="0.25">
      <c r="A20" s="313">
        <v>2</v>
      </c>
      <c r="B20" s="314" t="s">
        <v>204</v>
      </c>
      <c r="C20" s="333" t="s">
        <v>211</v>
      </c>
      <c r="D20" s="334" t="s">
        <v>212</v>
      </c>
      <c r="E20" s="333" t="s">
        <v>213</v>
      </c>
      <c r="F20" s="15" t="s">
        <v>44</v>
      </c>
      <c r="G20" s="27" t="s">
        <v>92</v>
      </c>
      <c r="H20" s="83">
        <v>68</v>
      </c>
    </row>
    <row r="21" spans="1:8" ht="27" customHeight="1" x14ac:dyDescent="0.25">
      <c r="A21" s="313"/>
      <c r="B21" s="315"/>
      <c r="C21" s="318"/>
      <c r="D21" s="335"/>
      <c r="E21" s="318"/>
      <c r="F21" s="15" t="s">
        <v>67</v>
      </c>
      <c r="G21" s="27" t="s">
        <v>93</v>
      </c>
      <c r="H21" s="83">
        <v>98</v>
      </c>
    </row>
    <row r="22" spans="1:8" ht="27" customHeight="1" x14ac:dyDescent="0.25">
      <c r="A22" s="313"/>
      <c r="B22" s="315"/>
      <c r="C22" s="318"/>
      <c r="D22" s="335"/>
      <c r="E22" s="318"/>
      <c r="F22" s="15" t="s">
        <v>68</v>
      </c>
      <c r="G22" s="27" t="s">
        <v>94</v>
      </c>
      <c r="H22" s="83">
        <v>138</v>
      </c>
    </row>
    <row r="23" spans="1:8" ht="27" customHeight="1" x14ac:dyDescent="0.25">
      <c r="A23" s="313"/>
      <c r="B23" s="315"/>
      <c r="C23" s="318"/>
      <c r="D23" s="335"/>
      <c r="E23" s="318"/>
      <c r="F23" s="15" t="s">
        <v>69</v>
      </c>
      <c r="G23" s="27" t="s">
        <v>95</v>
      </c>
      <c r="H23" s="83">
        <v>188</v>
      </c>
    </row>
    <row r="24" spans="1:8" ht="27" customHeight="1" x14ac:dyDescent="0.25">
      <c r="A24" s="313"/>
      <c r="B24" s="316"/>
      <c r="C24" s="318"/>
      <c r="D24" s="336"/>
      <c r="E24" s="318"/>
      <c r="F24" s="15" t="s">
        <v>43</v>
      </c>
      <c r="G24" s="27" t="s">
        <v>96</v>
      </c>
      <c r="H24" s="83">
        <v>98</v>
      </c>
    </row>
    <row r="25" spans="1:8" ht="16.149999999999999" customHeight="1" x14ac:dyDescent="0.25">
      <c r="A25" s="306" t="s">
        <v>193</v>
      </c>
      <c r="B25" s="307"/>
      <c r="C25" s="307"/>
      <c r="D25" s="307"/>
      <c r="E25" s="307"/>
      <c r="F25" s="307"/>
      <c r="G25" s="307"/>
      <c r="H25" s="78"/>
    </row>
    <row r="26" spans="1:8" ht="12.75" customHeight="1" x14ac:dyDescent="0.25">
      <c r="A26" s="326" t="s">
        <v>5</v>
      </c>
      <c r="B26" s="331" t="s">
        <v>173</v>
      </c>
      <c r="C26" s="327" t="s">
        <v>0</v>
      </c>
      <c r="D26" s="331" t="s">
        <v>175</v>
      </c>
      <c r="E26" s="327" t="s">
        <v>1</v>
      </c>
      <c r="F26" s="328" t="s">
        <v>50</v>
      </c>
      <c r="G26" s="329"/>
      <c r="H26" s="330"/>
    </row>
    <row r="27" spans="1:8" ht="25" x14ac:dyDescent="0.25">
      <c r="A27" s="326"/>
      <c r="B27" s="332"/>
      <c r="C27" s="327"/>
      <c r="D27" s="332"/>
      <c r="E27" s="327"/>
      <c r="F27" s="15" t="s">
        <v>48</v>
      </c>
      <c r="G27" s="15" t="s">
        <v>14</v>
      </c>
      <c r="H27" s="79" t="s">
        <v>17</v>
      </c>
    </row>
    <row r="28" spans="1:8" x14ac:dyDescent="0.25">
      <c r="A28" s="86"/>
      <c r="B28" s="5"/>
      <c r="C28" s="5"/>
      <c r="D28" s="5"/>
      <c r="E28" s="5"/>
      <c r="F28" s="2"/>
      <c r="G28" s="2"/>
      <c r="H28" s="87"/>
    </row>
    <row r="29" spans="1:8" ht="12.75" customHeight="1" x14ac:dyDescent="0.25">
      <c r="A29" s="313">
        <v>3</v>
      </c>
      <c r="B29" s="314" t="s">
        <v>204</v>
      </c>
      <c r="C29" s="319" t="s">
        <v>55</v>
      </c>
      <c r="D29" s="334" t="s">
        <v>174</v>
      </c>
      <c r="E29" s="320" t="s">
        <v>22</v>
      </c>
      <c r="F29" s="15" t="s">
        <v>46</v>
      </c>
      <c r="G29" s="27" t="s">
        <v>97</v>
      </c>
      <c r="H29" s="304">
        <v>98</v>
      </c>
    </row>
    <row r="30" spans="1:8" ht="12.75" customHeight="1" x14ac:dyDescent="0.25">
      <c r="A30" s="313"/>
      <c r="B30" s="315"/>
      <c r="C30" s="318"/>
      <c r="D30" s="335"/>
      <c r="E30" s="321"/>
      <c r="F30" s="15" t="s">
        <v>47</v>
      </c>
      <c r="G30" s="27" t="s">
        <v>99</v>
      </c>
      <c r="H30" s="304">
        <v>148</v>
      </c>
    </row>
    <row r="31" spans="1:8" x14ac:dyDescent="0.25">
      <c r="A31" s="313"/>
      <c r="B31" s="316"/>
      <c r="C31" s="318"/>
      <c r="D31" s="336"/>
      <c r="E31" s="322"/>
      <c r="F31" s="15" t="s">
        <v>49</v>
      </c>
      <c r="G31" s="27" t="s">
        <v>98</v>
      </c>
      <c r="H31" s="304">
        <v>188</v>
      </c>
    </row>
    <row r="32" spans="1:8" x14ac:dyDescent="0.25">
      <c r="A32" s="77"/>
      <c r="H32" s="78"/>
    </row>
    <row r="33" spans="1:8" ht="12.75" customHeight="1" x14ac:dyDescent="0.25">
      <c r="A33" s="326" t="s">
        <v>5</v>
      </c>
      <c r="B33" s="331" t="s">
        <v>173</v>
      </c>
      <c r="C33" s="327" t="s">
        <v>0</v>
      </c>
      <c r="D33" s="331" t="s">
        <v>175</v>
      </c>
      <c r="E33" s="327" t="s">
        <v>1</v>
      </c>
      <c r="F33" s="328" t="s">
        <v>31</v>
      </c>
      <c r="G33" s="329"/>
      <c r="H33" s="330"/>
    </row>
    <row r="34" spans="1:8" ht="25" x14ac:dyDescent="0.25">
      <c r="A34" s="326"/>
      <c r="B34" s="332"/>
      <c r="C34" s="327"/>
      <c r="D34" s="332"/>
      <c r="E34" s="327"/>
      <c r="F34" s="15" t="s">
        <v>32</v>
      </c>
      <c r="G34" s="15" t="s">
        <v>14</v>
      </c>
      <c r="H34" s="79" t="s">
        <v>17</v>
      </c>
    </row>
    <row r="35" spans="1:8" x14ac:dyDescent="0.25">
      <c r="A35" s="86"/>
      <c r="B35" s="5"/>
      <c r="C35" s="5"/>
      <c r="D35" s="5" t="s">
        <v>78</v>
      </c>
      <c r="E35" s="5"/>
      <c r="F35" s="2"/>
      <c r="G35" s="2"/>
      <c r="H35" s="87"/>
    </row>
    <row r="36" spans="1:8" ht="12.75" customHeight="1" x14ac:dyDescent="0.25">
      <c r="A36" s="313">
        <v>4</v>
      </c>
      <c r="B36" s="314" t="s">
        <v>204</v>
      </c>
      <c r="C36" s="333" t="s">
        <v>170</v>
      </c>
      <c r="D36" s="334" t="s">
        <v>174</v>
      </c>
      <c r="E36" s="337" t="s">
        <v>23</v>
      </c>
      <c r="F36" s="15" t="s">
        <v>20</v>
      </c>
      <c r="G36" s="27" t="s">
        <v>100</v>
      </c>
      <c r="H36" s="82">
        <v>58</v>
      </c>
    </row>
    <row r="37" spans="1:8" ht="12.75" customHeight="1" x14ac:dyDescent="0.25">
      <c r="A37" s="313"/>
      <c r="B37" s="315"/>
      <c r="C37" s="318"/>
      <c r="D37" s="338"/>
      <c r="E37" s="321"/>
      <c r="F37" s="16" t="s">
        <v>62</v>
      </c>
      <c r="G37" s="27" t="s">
        <v>101</v>
      </c>
      <c r="H37" s="82">
        <v>68</v>
      </c>
    </row>
    <row r="38" spans="1:8" x14ac:dyDescent="0.25">
      <c r="A38" s="313"/>
      <c r="B38" s="315"/>
      <c r="C38" s="318"/>
      <c r="D38" s="338"/>
      <c r="E38" s="321"/>
      <c r="F38" s="16" t="s">
        <v>63</v>
      </c>
      <c r="G38" s="27" t="s">
        <v>102</v>
      </c>
      <c r="H38" s="82">
        <v>88</v>
      </c>
    </row>
    <row r="39" spans="1:8" ht="12.75" customHeight="1" x14ac:dyDescent="0.25">
      <c r="A39" s="313"/>
      <c r="B39" s="315"/>
      <c r="C39" s="318"/>
      <c r="D39" s="338"/>
      <c r="E39" s="321"/>
      <c r="F39" s="16" t="s">
        <v>64</v>
      </c>
      <c r="G39" s="27" t="s">
        <v>103</v>
      </c>
      <c r="H39" s="82">
        <v>148</v>
      </c>
    </row>
    <row r="40" spans="1:8" ht="12.75" customHeight="1" x14ac:dyDescent="0.25">
      <c r="A40" s="313"/>
      <c r="B40" s="316"/>
      <c r="C40" s="318"/>
      <c r="D40" s="339"/>
      <c r="E40" s="322"/>
      <c r="F40" s="16" t="s">
        <v>65</v>
      </c>
      <c r="G40" s="27" t="s">
        <v>104</v>
      </c>
      <c r="H40" s="82">
        <v>200</v>
      </c>
    </row>
    <row r="41" spans="1:8" x14ac:dyDescent="0.25">
      <c r="A41" s="86"/>
      <c r="B41" s="5"/>
      <c r="C41" s="6"/>
      <c r="D41" s="136"/>
      <c r="G41" s="137"/>
      <c r="H41" s="88"/>
    </row>
    <row r="42" spans="1:8" x14ac:dyDescent="0.25">
      <c r="A42" s="89"/>
      <c r="B42" s="132"/>
      <c r="C42" s="7"/>
      <c r="D42" s="7"/>
      <c r="E42" s="7"/>
      <c r="F42" s="7"/>
      <c r="G42" s="7"/>
      <c r="H42" s="90"/>
    </row>
    <row r="43" spans="1:8" ht="9.75" customHeight="1" x14ac:dyDescent="0.25">
      <c r="A43" s="75"/>
      <c r="B43" s="133"/>
      <c r="C43" s="134"/>
      <c r="D43" s="134"/>
      <c r="E43" s="134"/>
      <c r="F43" s="134"/>
      <c r="G43" s="134"/>
      <c r="H43" s="76"/>
    </row>
    <row r="44" spans="1:8" ht="12.75" customHeight="1" x14ac:dyDescent="0.25">
      <c r="A44" s="344" t="s">
        <v>2</v>
      </c>
      <c r="B44" s="345"/>
      <c r="C44" s="345"/>
      <c r="D44" s="345"/>
      <c r="E44" s="345"/>
      <c r="F44" s="345"/>
      <c r="G44" s="345"/>
      <c r="H44" s="346"/>
    </row>
    <row r="45" spans="1:8" ht="12.75" customHeight="1" x14ac:dyDescent="0.25">
      <c r="A45" s="77"/>
      <c r="H45" s="78"/>
    </row>
    <row r="46" spans="1:8" x14ac:dyDescent="0.25">
      <c r="A46" s="323" t="s">
        <v>39</v>
      </c>
      <c r="B46" s="324"/>
      <c r="C46" s="324"/>
      <c r="D46" s="324"/>
      <c r="E46" s="324"/>
      <c r="F46" s="324"/>
      <c r="G46" s="324"/>
      <c r="H46" s="325"/>
    </row>
    <row r="47" spans="1:8" x14ac:dyDescent="0.25">
      <c r="A47" s="77"/>
      <c r="H47" s="78"/>
    </row>
    <row r="48" spans="1:8" ht="29.25" customHeight="1" x14ac:dyDescent="0.25">
      <c r="A48" s="91" t="s">
        <v>5</v>
      </c>
      <c r="B48" s="38" t="s">
        <v>206</v>
      </c>
      <c r="C48" s="38" t="s">
        <v>0</v>
      </c>
      <c r="D48" s="54" t="s">
        <v>175</v>
      </c>
      <c r="E48" s="340" t="s">
        <v>1</v>
      </c>
      <c r="F48" s="341"/>
      <c r="G48" s="38" t="s">
        <v>14</v>
      </c>
      <c r="H48" s="92" t="s">
        <v>17</v>
      </c>
    </row>
    <row r="49" spans="1:8" x14ac:dyDescent="0.25">
      <c r="A49" s="86"/>
      <c r="B49" s="5"/>
      <c r="C49" s="2"/>
      <c r="D49" s="2"/>
      <c r="E49" s="2"/>
      <c r="F49" s="2"/>
      <c r="G49" s="2"/>
      <c r="H49" s="87"/>
    </row>
    <row r="50" spans="1:8" ht="21.75" customHeight="1" x14ac:dyDescent="0.25">
      <c r="A50" s="93"/>
      <c r="B50" s="138"/>
      <c r="C50" s="139"/>
      <c r="D50" s="139"/>
      <c r="H50" s="94"/>
    </row>
    <row r="51" spans="1:8" ht="63" customHeight="1" x14ac:dyDescent="0.25">
      <c r="A51" s="81">
        <v>12</v>
      </c>
      <c r="B51" s="34" t="s">
        <v>205</v>
      </c>
      <c r="C51" s="39" t="s">
        <v>56</v>
      </c>
      <c r="D51" s="55" t="s">
        <v>176</v>
      </c>
      <c r="E51" s="342" t="s">
        <v>6</v>
      </c>
      <c r="F51" s="343"/>
      <c r="G51" s="27" t="s">
        <v>109</v>
      </c>
      <c r="H51" s="83">
        <v>17</v>
      </c>
    </row>
    <row r="52" spans="1:8" ht="12.75" customHeight="1" x14ac:dyDescent="0.25">
      <c r="A52" s="95"/>
      <c r="B52" s="140"/>
      <c r="C52" s="140"/>
      <c r="D52" s="140"/>
      <c r="E52" s="140"/>
      <c r="F52" s="140"/>
      <c r="G52" s="140"/>
      <c r="H52" s="96"/>
    </row>
    <row r="53" spans="1:8" ht="63" customHeight="1" x14ac:dyDescent="0.25">
      <c r="A53" s="103" t="s">
        <v>185</v>
      </c>
      <c r="B53" s="62" t="s">
        <v>207</v>
      </c>
      <c r="C53" s="70" t="s">
        <v>200</v>
      </c>
      <c r="D53" s="73" t="s">
        <v>201</v>
      </c>
      <c r="E53" s="409" t="s">
        <v>6</v>
      </c>
      <c r="F53" s="410"/>
      <c r="G53" s="27" t="s">
        <v>185</v>
      </c>
      <c r="H53" s="83">
        <v>11</v>
      </c>
    </row>
    <row r="54" spans="1:8" ht="12.75" customHeight="1" x14ac:dyDescent="0.25">
      <c r="A54" s="95"/>
      <c r="B54" s="140"/>
      <c r="C54" s="140"/>
      <c r="D54" s="140"/>
      <c r="E54" s="140"/>
      <c r="F54" s="140"/>
      <c r="G54" s="140"/>
      <c r="H54" s="96"/>
    </row>
    <row r="55" spans="1:8" ht="63" customHeight="1" x14ac:dyDescent="0.25">
      <c r="A55" s="103" t="s">
        <v>185</v>
      </c>
      <c r="B55" s="62" t="s">
        <v>207</v>
      </c>
      <c r="C55" s="70" t="s">
        <v>202</v>
      </c>
      <c r="D55" s="73" t="s">
        <v>203</v>
      </c>
      <c r="E55" s="409" t="s">
        <v>6</v>
      </c>
      <c r="F55" s="410"/>
      <c r="G55" s="27" t="s">
        <v>185</v>
      </c>
      <c r="H55" s="83">
        <v>10</v>
      </c>
    </row>
    <row r="56" spans="1:8" ht="12.75" customHeight="1" x14ac:dyDescent="0.25">
      <c r="A56" s="95"/>
      <c r="B56" s="140"/>
      <c r="C56" s="140"/>
      <c r="D56" s="140"/>
      <c r="E56" s="140"/>
      <c r="F56" s="140"/>
      <c r="G56" s="140"/>
      <c r="H56" s="96"/>
    </row>
    <row r="57" spans="1:8" ht="41.25" customHeight="1" x14ac:dyDescent="0.25">
      <c r="A57" s="81">
        <v>13</v>
      </c>
      <c r="B57" s="34" t="s">
        <v>205</v>
      </c>
      <c r="C57" s="39" t="s">
        <v>177</v>
      </c>
      <c r="D57" s="55" t="s">
        <v>176</v>
      </c>
      <c r="E57" s="319" t="s">
        <v>53</v>
      </c>
      <c r="F57" s="318"/>
      <c r="G57" s="27" t="s">
        <v>110</v>
      </c>
      <c r="H57" s="83">
        <v>8</v>
      </c>
    </row>
    <row r="58" spans="1:8" ht="27" customHeight="1" x14ac:dyDescent="0.25">
      <c r="A58" s="86"/>
      <c r="B58" s="5"/>
      <c r="C58" s="2"/>
      <c r="D58" s="2"/>
      <c r="E58" s="2"/>
      <c r="F58" s="2"/>
      <c r="G58" s="2"/>
      <c r="H58" s="87"/>
    </row>
    <row r="59" spans="1:8" s="13" customFormat="1" ht="25" x14ac:dyDescent="0.3">
      <c r="A59" s="81">
        <v>14</v>
      </c>
      <c r="B59" s="34" t="s">
        <v>208</v>
      </c>
      <c r="C59" s="35" t="s">
        <v>38</v>
      </c>
      <c r="D59" s="56" t="s">
        <v>186</v>
      </c>
      <c r="E59" s="342" t="s">
        <v>6</v>
      </c>
      <c r="F59" s="343"/>
      <c r="G59" s="27" t="s">
        <v>111</v>
      </c>
      <c r="H59" s="83">
        <v>28</v>
      </c>
    </row>
    <row r="60" spans="1:8" ht="27" customHeight="1" x14ac:dyDescent="0.25">
      <c r="A60" s="86"/>
      <c r="B60" s="5"/>
      <c r="C60" s="2"/>
      <c r="D60" s="2"/>
      <c r="E60" s="2"/>
      <c r="F60" s="2"/>
      <c r="G60" s="2"/>
      <c r="H60" s="87"/>
    </row>
    <row r="61" spans="1:8" ht="75" x14ac:dyDescent="0.25">
      <c r="A61" s="89">
        <v>11</v>
      </c>
      <c r="B61" s="51" t="s">
        <v>209</v>
      </c>
      <c r="C61" s="39" t="s">
        <v>191</v>
      </c>
      <c r="D61" s="74" t="s">
        <v>198</v>
      </c>
      <c r="E61" s="342" t="s">
        <v>6</v>
      </c>
      <c r="F61" s="343"/>
      <c r="G61" s="27" t="s">
        <v>108</v>
      </c>
      <c r="H61" s="83">
        <v>33</v>
      </c>
    </row>
    <row r="62" spans="1:8" s="13" customFormat="1" x14ac:dyDescent="0.3">
      <c r="A62" s="89"/>
      <c r="B62" s="11"/>
      <c r="C62" s="7"/>
      <c r="D62" s="7"/>
      <c r="E62" s="7"/>
      <c r="F62" s="7"/>
      <c r="G62" s="7"/>
      <c r="H62" s="90"/>
    </row>
    <row r="63" spans="1:8" ht="12.75" customHeight="1" x14ac:dyDescent="0.25">
      <c r="A63" s="323" t="s">
        <v>37</v>
      </c>
      <c r="B63" s="324"/>
      <c r="C63" s="324"/>
      <c r="D63" s="324"/>
      <c r="E63" s="324"/>
      <c r="F63" s="324"/>
      <c r="G63" s="324"/>
      <c r="H63" s="325"/>
    </row>
    <row r="64" spans="1:8" ht="15.75" customHeight="1" x14ac:dyDescent="0.25">
      <c r="A64" s="77"/>
      <c r="H64" s="78"/>
    </row>
    <row r="65" spans="1:8" ht="27" customHeight="1" x14ac:dyDescent="0.25">
      <c r="A65" s="350" t="s">
        <v>5</v>
      </c>
      <c r="B65" s="356" t="s">
        <v>173</v>
      </c>
      <c r="C65" s="351" t="s">
        <v>0</v>
      </c>
      <c r="D65" s="356" t="s">
        <v>175</v>
      </c>
      <c r="E65" s="356" t="s">
        <v>1</v>
      </c>
      <c r="F65" s="351" t="s">
        <v>45</v>
      </c>
      <c r="G65" s="351"/>
      <c r="H65" s="358"/>
    </row>
    <row r="66" spans="1:8" ht="27" customHeight="1" x14ac:dyDescent="0.25">
      <c r="A66" s="350"/>
      <c r="B66" s="357"/>
      <c r="C66" s="351"/>
      <c r="D66" s="357"/>
      <c r="E66" s="357"/>
      <c r="F66" s="19" t="s">
        <v>15</v>
      </c>
      <c r="G66" s="19" t="s">
        <v>14</v>
      </c>
      <c r="H66" s="97" t="s">
        <v>17</v>
      </c>
    </row>
    <row r="67" spans="1:8" ht="13.5" customHeight="1" x14ac:dyDescent="0.25">
      <c r="A67" s="86"/>
      <c r="B67" s="5"/>
      <c r="C67" s="5"/>
      <c r="D67" s="8"/>
      <c r="E67" s="8"/>
      <c r="F67" s="2"/>
      <c r="G67" s="2"/>
      <c r="H67" s="87"/>
    </row>
    <row r="68" spans="1:8" ht="25" x14ac:dyDescent="0.25">
      <c r="A68" s="365" t="s">
        <v>185</v>
      </c>
      <c r="B68" s="366" t="s">
        <v>208</v>
      </c>
      <c r="C68" s="369" t="s">
        <v>220</v>
      </c>
      <c r="D68" s="362" t="s">
        <v>221</v>
      </c>
      <c r="E68" s="369" t="s">
        <v>169</v>
      </c>
      <c r="F68" s="20" t="s">
        <v>44</v>
      </c>
      <c r="G68" s="27" t="s">
        <v>185</v>
      </c>
      <c r="H68" s="83">
        <v>78</v>
      </c>
    </row>
    <row r="69" spans="1:8" ht="12.75" customHeight="1" x14ac:dyDescent="0.25">
      <c r="A69" s="365"/>
      <c r="B69" s="367"/>
      <c r="C69" s="370"/>
      <c r="D69" s="363"/>
      <c r="E69" s="370"/>
      <c r="F69" s="20" t="s">
        <v>67</v>
      </c>
      <c r="G69" s="27" t="s">
        <v>185</v>
      </c>
      <c r="H69" s="83">
        <v>98</v>
      </c>
    </row>
    <row r="70" spans="1:8" ht="25" x14ac:dyDescent="0.25">
      <c r="A70" s="365"/>
      <c r="B70" s="367"/>
      <c r="C70" s="370"/>
      <c r="D70" s="363"/>
      <c r="E70" s="370"/>
      <c r="F70" s="20" t="s">
        <v>68</v>
      </c>
      <c r="G70" s="27" t="s">
        <v>185</v>
      </c>
      <c r="H70" s="83">
        <v>148</v>
      </c>
    </row>
    <row r="71" spans="1:8" ht="25" x14ac:dyDescent="0.25">
      <c r="A71" s="365"/>
      <c r="B71" s="367"/>
      <c r="C71" s="370"/>
      <c r="D71" s="363"/>
      <c r="E71" s="370"/>
      <c r="F71" s="20" t="s">
        <v>69</v>
      </c>
      <c r="G71" s="27" t="s">
        <v>185</v>
      </c>
      <c r="H71" s="83">
        <v>198</v>
      </c>
    </row>
    <row r="72" spans="1:8" ht="27.75" customHeight="1" x14ac:dyDescent="0.25">
      <c r="A72" s="365"/>
      <c r="B72" s="368"/>
      <c r="C72" s="370"/>
      <c r="D72" s="364"/>
      <c r="E72" s="370"/>
      <c r="F72" s="19" t="s">
        <v>43</v>
      </c>
      <c r="G72" s="27" t="s">
        <v>185</v>
      </c>
      <c r="H72" s="83">
        <v>98</v>
      </c>
    </row>
    <row r="73" spans="1:8" x14ac:dyDescent="0.25">
      <c r="A73" s="77"/>
      <c r="C73" s="141"/>
      <c r="D73" s="141"/>
      <c r="F73" s="136"/>
      <c r="G73" s="140"/>
      <c r="H73" s="78"/>
    </row>
    <row r="74" spans="1:8" ht="27" customHeight="1" x14ac:dyDescent="0.25">
      <c r="A74" s="350" t="s">
        <v>5</v>
      </c>
      <c r="B74" s="356"/>
      <c r="C74" s="351" t="s">
        <v>0</v>
      </c>
      <c r="D74" s="356" t="s">
        <v>175</v>
      </c>
      <c r="E74" s="356" t="s">
        <v>1</v>
      </c>
      <c r="F74" s="351" t="s">
        <v>45</v>
      </c>
      <c r="G74" s="351"/>
      <c r="H74" s="358"/>
    </row>
    <row r="75" spans="1:8" ht="27" customHeight="1" x14ac:dyDescent="0.25">
      <c r="A75" s="350"/>
      <c r="B75" s="357"/>
      <c r="C75" s="351"/>
      <c r="D75" s="357"/>
      <c r="E75" s="357"/>
      <c r="F75" s="19" t="s">
        <v>15</v>
      </c>
      <c r="G75" s="19" t="s">
        <v>14</v>
      </c>
      <c r="H75" s="97" t="s">
        <v>17</v>
      </c>
    </row>
    <row r="76" spans="1:8" ht="13.5" customHeight="1" x14ac:dyDescent="0.25">
      <c r="A76" s="86"/>
      <c r="B76" s="5"/>
      <c r="C76" s="5"/>
      <c r="D76" s="8"/>
      <c r="E76" s="8"/>
      <c r="F76" s="2"/>
      <c r="G76" s="2"/>
      <c r="H76" s="87"/>
    </row>
    <row r="77" spans="1:8" ht="25" x14ac:dyDescent="0.25">
      <c r="A77" s="313">
        <v>15</v>
      </c>
      <c r="B77" s="314" t="s">
        <v>210</v>
      </c>
      <c r="C77" s="333" t="s">
        <v>57</v>
      </c>
      <c r="D77" s="362" t="s">
        <v>188</v>
      </c>
      <c r="E77" s="333" t="s">
        <v>169</v>
      </c>
      <c r="F77" s="20" t="s">
        <v>44</v>
      </c>
      <c r="G77" s="27" t="s">
        <v>112</v>
      </c>
      <c r="H77" s="83">
        <v>78</v>
      </c>
    </row>
    <row r="78" spans="1:8" ht="12.75" customHeight="1" x14ac:dyDescent="0.25">
      <c r="A78" s="313"/>
      <c r="B78" s="315"/>
      <c r="C78" s="318"/>
      <c r="D78" s="363"/>
      <c r="E78" s="318"/>
      <c r="F78" s="20" t="s">
        <v>67</v>
      </c>
      <c r="G78" s="27" t="s">
        <v>113</v>
      </c>
      <c r="H78" s="83">
        <v>98</v>
      </c>
    </row>
    <row r="79" spans="1:8" ht="25" x14ac:dyDescent="0.25">
      <c r="A79" s="313"/>
      <c r="B79" s="315"/>
      <c r="C79" s="318"/>
      <c r="D79" s="363"/>
      <c r="E79" s="318"/>
      <c r="F79" s="20" t="s">
        <v>68</v>
      </c>
      <c r="G79" s="27" t="s">
        <v>114</v>
      </c>
      <c r="H79" s="83">
        <v>148</v>
      </c>
    </row>
    <row r="80" spans="1:8" ht="25" x14ac:dyDescent="0.25">
      <c r="A80" s="313"/>
      <c r="B80" s="315"/>
      <c r="C80" s="318"/>
      <c r="D80" s="363"/>
      <c r="E80" s="318"/>
      <c r="F80" s="20" t="s">
        <v>69</v>
      </c>
      <c r="G80" s="27" t="s">
        <v>115</v>
      </c>
      <c r="H80" s="83">
        <v>198</v>
      </c>
    </row>
    <row r="81" spans="1:8" ht="27.75" customHeight="1" x14ac:dyDescent="0.25">
      <c r="A81" s="313"/>
      <c r="B81" s="316"/>
      <c r="C81" s="318"/>
      <c r="D81" s="364"/>
      <c r="E81" s="318"/>
      <c r="F81" s="19" t="s">
        <v>43</v>
      </c>
      <c r="G81" s="27" t="s">
        <v>116</v>
      </c>
      <c r="H81" s="83">
        <v>98</v>
      </c>
    </row>
    <row r="82" spans="1:8" x14ac:dyDescent="0.25">
      <c r="A82" s="77"/>
      <c r="C82" s="141"/>
      <c r="D82" s="141"/>
      <c r="F82" s="136"/>
      <c r="G82" s="140"/>
      <c r="H82" s="78"/>
    </row>
    <row r="83" spans="1:8" x14ac:dyDescent="0.25">
      <c r="A83" s="350" t="s">
        <v>5</v>
      </c>
      <c r="B83" s="356"/>
      <c r="C83" s="351" t="s">
        <v>0</v>
      </c>
      <c r="D83" s="356" t="s">
        <v>175</v>
      </c>
      <c r="E83" s="351" t="s">
        <v>1</v>
      </c>
      <c r="F83" s="340" t="s">
        <v>50</v>
      </c>
      <c r="G83" s="352"/>
      <c r="H83" s="353"/>
    </row>
    <row r="84" spans="1:8" ht="12.75" customHeight="1" x14ac:dyDescent="0.25">
      <c r="A84" s="350"/>
      <c r="B84" s="357"/>
      <c r="C84" s="351"/>
      <c r="D84" s="357"/>
      <c r="E84" s="351"/>
      <c r="F84" s="19" t="s">
        <v>48</v>
      </c>
      <c r="G84" s="19" t="s">
        <v>14</v>
      </c>
      <c r="H84" s="97" t="s">
        <v>17</v>
      </c>
    </row>
    <row r="85" spans="1:8" ht="12.75" customHeight="1" x14ac:dyDescent="0.25">
      <c r="A85" s="77"/>
      <c r="C85" s="141"/>
      <c r="D85" s="141"/>
      <c r="H85" s="78"/>
    </row>
    <row r="86" spans="1:8" ht="34.15" customHeight="1" x14ac:dyDescent="0.25">
      <c r="A86" s="313">
        <v>16</v>
      </c>
      <c r="B86" s="314" t="s">
        <v>210</v>
      </c>
      <c r="C86" s="318" t="s">
        <v>35</v>
      </c>
      <c r="D86" s="359" t="s">
        <v>179</v>
      </c>
      <c r="E86" s="320" t="s">
        <v>22</v>
      </c>
      <c r="F86" s="20" t="s">
        <v>46</v>
      </c>
      <c r="G86" s="27" t="s">
        <v>117</v>
      </c>
      <c r="H86" s="83">
        <v>98</v>
      </c>
    </row>
    <row r="87" spans="1:8" ht="23.65" customHeight="1" x14ac:dyDescent="0.25">
      <c r="A87" s="313"/>
      <c r="B87" s="315"/>
      <c r="C87" s="318"/>
      <c r="D87" s="360"/>
      <c r="E87" s="321"/>
      <c r="F87" s="20" t="s">
        <v>47</v>
      </c>
      <c r="G87" s="27" t="s">
        <v>118</v>
      </c>
      <c r="H87" s="83">
        <v>178</v>
      </c>
    </row>
    <row r="88" spans="1:8" ht="30" customHeight="1" x14ac:dyDescent="0.25">
      <c r="A88" s="313"/>
      <c r="B88" s="316"/>
      <c r="C88" s="318"/>
      <c r="D88" s="361"/>
      <c r="E88" s="322"/>
      <c r="F88" s="20" t="s">
        <v>49</v>
      </c>
      <c r="G88" s="27" t="s">
        <v>119</v>
      </c>
      <c r="H88" s="83">
        <v>258</v>
      </c>
    </row>
    <row r="89" spans="1:8" x14ac:dyDescent="0.25">
      <c r="A89" s="77"/>
      <c r="H89" s="78"/>
    </row>
    <row r="90" spans="1:8" ht="12.75" customHeight="1" x14ac:dyDescent="0.25">
      <c r="A90" s="354" t="s">
        <v>5</v>
      </c>
      <c r="B90" s="38"/>
      <c r="C90" s="356" t="s">
        <v>0</v>
      </c>
      <c r="D90" s="356" t="s">
        <v>175</v>
      </c>
      <c r="E90" s="356" t="s">
        <v>1</v>
      </c>
      <c r="F90" s="351" t="s">
        <v>31</v>
      </c>
      <c r="G90" s="351"/>
      <c r="H90" s="358"/>
    </row>
    <row r="91" spans="1:8" ht="12.75" customHeight="1" x14ac:dyDescent="0.25">
      <c r="A91" s="355"/>
      <c r="B91" s="52"/>
      <c r="C91" s="357"/>
      <c r="D91" s="357"/>
      <c r="E91" s="357"/>
      <c r="F91" s="19" t="s">
        <v>32</v>
      </c>
      <c r="G91" s="19" t="s">
        <v>14</v>
      </c>
      <c r="H91" s="97" t="s">
        <v>17</v>
      </c>
    </row>
    <row r="92" spans="1:8" ht="12.75" customHeight="1" x14ac:dyDescent="0.25">
      <c r="A92" s="77"/>
      <c r="H92" s="78"/>
    </row>
    <row r="93" spans="1:8" ht="12.75" customHeight="1" x14ac:dyDescent="0.25">
      <c r="A93" s="313">
        <v>17</v>
      </c>
      <c r="B93" s="314" t="s">
        <v>210</v>
      </c>
      <c r="C93" s="333" t="s">
        <v>187</v>
      </c>
      <c r="D93" s="359" t="s">
        <v>179</v>
      </c>
      <c r="E93" s="320" t="s">
        <v>23</v>
      </c>
      <c r="F93" s="20" t="s">
        <v>20</v>
      </c>
      <c r="G93" s="27" t="s">
        <v>120</v>
      </c>
      <c r="H93" s="83">
        <v>48</v>
      </c>
    </row>
    <row r="94" spans="1:8" ht="27" customHeight="1" x14ac:dyDescent="0.25">
      <c r="A94" s="313"/>
      <c r="B94" s="315"/>
      <c r="C94" s="318"/>
      <c r="D94" s="360"/>
      <c r="E94" s="321"/>
      <c r="F94" s="21" t="s">
        <v>62</v>
      </c>
      <c r="G94" s="27" t="s">
        <v>121</v>
      </c>
      <c r="H94" s="83">
        <v>78</v>
      </c>
    </row>
    <row r="95" spans="1:8" x14ac:dyDescent="0.25">
      <c r="A95" s="313"/>
      <c r="B95" s="315"/>
      <c r="C95" s="318"/>
      <c r="D95" s="360"/>
      <c r="E95" s="321"/>
      <c r="F95" s="21" t="s">
        <v>63</v>
      </c>
      <c r="G95" s="27" t="s">
        <v>122</v>
      </c>
      <c r="H95" s="83">
        <v>98</v>
      </c>
    </row>
    <row r="96" spans="1:8" ht="29.25" customHeight="1" x14ac:dyDescent="0.25">
      <c r="A96" s="313"/>
      <c r="B96" s="315"/>
      <c r="C96" s="318"/>
      <c r="D96" s="360"/>
      <c r="E96" s="321"/>
      <c r="F96" s="21" t="s">
        <v>64</v>
      </c>
      <c r="G96" s="27" t="s">
        <v>123</v>
      </c>
      <c r="H96" s="83">
        <v>158</v>
      </c>
    </row>
    <row r="97" spans="1:8" ht="12.75" customHeight="1" x14ac:dyDescent="0.25">
      <c r="A97" s="313"/>
      <c r="B97" s="316"/>
      <c r="C97" s="318"/>
      <c r="D97" s="361"/>
      <c r="E97" s="322"/>
      <c r="F97" s="19" t="s">
        <v>34</v>
      </c>
      <c r="G97" s="27" t="s">
        <v>124</v>
      </c>
      <c r="H97" s="83">
        <v>198</v>
      </c>
    </row>
    <row r="98" spans="1:8" s="13" customFormat="1" ht="6.75" customHeight="1" x14ac:dyDescent="0.3">
      <c r="A98" s="77"/>
      <c r="B98" s="4"/>
      <c r="C98" s="1"/>
      <c r="D98" s="1"/>
      <c r="E98" s="1"/>
      <c r="F98" s="1"/>
      <c r="G98" s="1"/>
      <c r="H98" s="78"/>
    </row>
    <row r="99" spans="1:8" ht="8.25" customHeight="1" x14ac:dyDescent="0.25">
      <c r="A99" s="77"/>
      <c r="F99" s="9"/>
      <c r="G99" s="10"/>
      <c r="H99" s="98"/>
    </row>
    <row r="100" spans="1:8" ht="30" customHeight="1" x14ac:dyDescent="0.25">
      <c r="A100" s="371">
        <v>25</v>
      </c>
      <c r="B100" s="371"/>
      <c r="C100" s="318" t="s">
        <v>36</v>
      </c>
      <c r="D100" s="370" t="s">
        <v>199</v>
      </c>
      <c r="E100" s="318" t="s">
        <v>22</v>
      </c>
      <c r="F100" s="20" t="s">
        <v>46</v>
      </c>
      <c r="G100" s="27" t="s">
        <v>125</v>
      </c>
      <c r="H100" s="34">
        <v>48</v>
      </c>
    </row>
    <row r="101" spans="1:8" ht="30" customHeight="1" x14ac:dyDescent="0.25">
      <c r="A101" s="371"/>
      <c r="B101" s="371"/>
      <c r="C101" s="318"/>
      <c r="D101" s="370"/>
      <c r="E101" s="318"/>
      <c r="F101" s="20" t="s">
        <v>47</v>
      </c>
      <c r="G101" s="27" t="s">
        <v>126</v>
      </c>
      <c r="H101" s="34">
        <v>68</v>
      </c>
    </row>
    <row r="102" spans="1:8" ht="30" customHeight="1" x14ac:dyDescent="0.25">
      <c r="A102" s="371"/>
      <c r="B102" s="371"/>
      <c r="C102" s="318"/>
      <c r="D102" s="370"/>
      <c r="E102" s="318"/>
      <c r="F102" s="20" t="s">
        <v>49</v>
      </c>
      <c r="G102" s="27" t="s">
        <v>127</v>
      </c>
      <c r="H102" s="34">
        <v>118</v>
      </c>
    </row>
    <row r="103" spans="1:8" ht="12.75" customHeight="1" x14ac:dyDescent="0.25">
      <c r="A103" s="77"/>
      <c r="B103" s="4" t="s">
        <v>223</v>
      </c>
      <c r="F103" s="9"/>
      <c r="G103" s="10"/>
      <c r="H103" s="98"/>
    </row>
    <row r="104" spans="1:8" x14ac:dyDescent="0.25">
      <c r="A104" s="372" t="s">
        <v>5</v>
      </c>
      <c r="B104" s="374"/>
      <c r="C104" s="373" t="s">
        <v>0</v>
      </c>
      <c r="D104" s="57"/>
      <c r="E104" s="374" t="s">
        <v>1</v>
      </c>
      <c r="F104" s="373" t="s">
        <v>31</v>
      </c>
      <c r="G104" s="373"/>
      <c r="H104" s="436"/>
    </row>
    <row r="105" spans="1:8" ht="24" customHeight="1" x14ac:dyDescent="0.25">
      <c r="A105" s="372"/>
      <c r="B105" s="375"/>
      <c r="C105" s="373"/>
      <c r="D105" s="60"/>
      <c r="E105" s="375"/>
      <c r="F105" s="59" t="s">
        <v>32</v>
      </c>
      <c r="G105" s="59" t="s">
        <v>14</v>
      </c>
      <c r="H105" s="99" t="s">
        <v>17</v>
      </c>
    </row>
    <row r="106" spans="1:8" ht="12.75" customHeight="1" x14ac:dyDescent="0.25">
      <c r="A106" s="77"/>
      <c r="H106" s="78"/>
    </row>
    <row r="107" spans="1:8" x14ac:dyDescent="0.25">
      <c r="A107" s="313">
        <v>26</v>
      </c>
      <c r="B107" s="314" t="s">
        <v>224</v>
      </c>
      <c r="C107" s="333" t="s">
        <v>171</v>
      </c>
      <c r="D107" s="359" t="s">
        <v>199</v>
      </c>
      <c r="E107" s="386" t="s">
        <v>178</v>
      </c>
      <c r="F107" s="20" t="s">
        <v>20</v>
      </c>
      <c r="G107" s="27" t="s">
        <v>128</v>
      </c>
      <c r="H107" s="83">
        <v>48</v>
      </c>
    </row>
    <row r="108" spans="1:8" ht="41.5" customHeight="1" x14ac:dyDescent="0.25">
      <c r="A108" s="313"/>
      <c r="B108" s="315"/>
      <c r="C108" s="333"/>
      <c r="D108" s="360"/>
      <c r="E108" s="321"/>
      <c r="F108" s="21" t="s">
        <v>62</v>
      </c>
      <c r="G108" s="27" t="s">
        <v>129</v>
      </c>
      <c r="H108" s="83">
        <v>58</v>
      </c>
    </row>
    <row r="109" spans="1:8" ht="12.75" customHeight="1" x14ac:dyDescent="0.25">
      <c r="A109" s="313"/>
      <c r="B109" s="315"/>
      <c r="C109" s="318"/>
      <c r="D109" s="360"/>
      <c r="E109" s="321"/>
      <c r="F109" s="21" t="s">
        <v>62</v>
      </c>
      <c r="G109" s="27" t="s">
        <v>129</v>
      </c>
      <c r="H109" s="83">
        <v>59</v>
      </c>
    </row>
    <row r="110" spans="1:8" x14ac:dyDescent="0.25">
      <c r="A110" s="313"/>
      <c r="B110" s="315"/>
      <c r="C110" s="318"/>
      <c r="D110" s="360"/>
      <c r="E110" s="321"/>
      <c r="F110" s="21" t="s">
        <v>63</v>
      </c>
      <c r="G110" s="27" t="s">
        <v>130</v>
      </c>
      <c r="H110" s="83">
        <v>68</v>
      </c>
    </row>
    <row r="111" spans="1:8" ht="12.75" customHeight="1" x14ac:dyDescent="0.25">
      <c r="A111" s="313"/>
      <c r="B111" s="315"/>
      <c r="C111" s="318"/>
      <c r="D111" s="360"/>
      <c r="E111" s="321"/>
      <c r="F111" s="21" t="s">
        <v>64</v>
      </c>
      <c r="G111" s="27" t="s">
        <v>131</v>
      </c>
      <c r="H111" s="83">
        <v>98</v>
      </c>
    </row>
    <row r="112" spans="1:8" x14ac:dyDescent="0.25">
      <c r="A112" s="313"/>
      <c r="B112" s="316"/>
      <c r="C112" s="318"/>
      <c r="D112" s="361"/>
      <c r="E112" s="322"/>
      <c r="F112" s="19" t="s">
        <v>34</v>
      </c>
      <c r="G112" s="27" t="s">
        <v>132</v>
      </c>
      <c r="H112" s="83">
        <v>138</v>
      </c>
    </row>
    <row r="113" spans="1:8" x14ac:dyDescent="0.25">
      <c r="A113" s="95"/>
      <c r="B113" s="140"/>
      <c r="C113" s="136"/>
      <c r="D113" s="136"/>
      <c r="H113" s="100"/>
    </row>
    <row r="114" spans="1:8" ht="32.25" customHeight="1" x14ac:dyDescent="0.25">
      <c r="A114" s="101" t="s">
        <v>5</v>
      </c>
      <c r="B114" s="57"/>
      <c r="C114" s="57" t="s">
        <v>0</v>
      </c>
      <c r="D114" s="58"/>
      <c r="E114" s="376" t="s">
        <v>1</v>
      </c>
      <c r="F114" s="377"/>
      <c r="G114" s="57" t="s">
        <v>14</v>
      </c>
      <c r="H114" s="102" t="s">
        <v>17</v>
      </c>
    </row>
    <row r="115" spans="1:8" ht="14.25" customHeight="1" x14ac:dyDescent="0.25">
      <c r="A115" s="86"/>
      <c r="B115" s="5"/>
      <c r="C115" s="2"/>
      <c r="D115" s="2"/>
      <c r="E115" s="2"/>
      <c r="F115" s="2"/>
      <c r="G115" s="2"/>
      <c r="H115" s="87"/>
    </row>
    <row r="116" spans="1:8" ht="125.25" customHeight="1" x14ac:dyDescent="0.25">
      <c r="A116" s="103" t="s">
        <v>185</v>
      </c>
      <c r="B116" s="34" t="s">
        <v>214</v>
      </c>
      <c r="C116" s="39" t="s">
        <v>181</v>
      </c>
      <c r="D116" s="73" t="s">
        <v>182</v>
      </c>
      <c r="E116" s="342" t="s">
        <v>6</v>
      </c>
      <c r="F116" s="343"/>
      <c r="G116" s="61" t="s">
        <v>180</v>
      </c>
      <c r="H116" s="83">
        <v>60</v>
      </c>
    </row>
    <row r="117" spans="1:8" x14ac:dyDescent="0.25">
      <c r="A117" s="77"/>
      <c r="H117" s="78"/>
    </row>
    <row r="118" spans="1:8" ht="12.75" customHeight="1" x14ac:dyDescent="0.25">
      <c r="A118" s="323" t="s">
        <v>184</v>
      </c>
      <c r="B118" s="324"/>
      <c r="C118" s="324"/>
      <c r="D118" s="324"/>
      <c r="E118" s="324"/>
      <c r="F118" s="324"/>
      <c r="G118" s="324"/>
      <c r="H118" s="325"/>
    </row>
    <row r="119" spans="1:8" ht="7.5" customHeight="1" x14ac:dyDescent="0.25">
      <c r="A119" s="75"/>
      <c r="B119" s="134"/>
      <c r="C119" s="134"/>
      <c r="D119" s="134"/>
      <c r="E119" s="134"/>
      <c r="F119" s="134"/>
      <c r="G119" s="134"/>
      <c r="H119" s="76"/>
    </row>
    <row r="120" spans="1:8" x14ac:dyDescent="0.25">
      <c r="A120" s="379" t="s">
        <v>5</v>
      </c>
      <c r="B120" s="64"/>
      <c r="C120" s="381" t="s">
        <v>0</v>
      </c>
      <c r="D120" s="65"/>
      <c r="E120" s="381" t="s">
        <v>1</v>
      </c>
      <c r="F120" s="347" t="s">
        <v>13</v>
      </c>
      <c r="G120" s="348"/>
      <c r="H120" s="349"/>
    </row>
    <row r="121" spans="1:8" ht="25" x14ac:dyDescent="0.25">
      <c r="A121" s="380"/>
      <c r="B121" s="66" t="s">
        <v>215</v>
      </c>
      <c r="C121" s="382"/>
      <c r="D121" s="67"/>
      <c r="E121" s="382"/>
      <c r="F121" s="68" t="s">
        <v>16</v>
      </c>
      <c r="G121" s="65" t="s">
        <v>14</v>
      </c>
      <c r="H121" s="104" t="s">
        <v>17</v>
      </c>
    </row>
    <row r="122" spans="1:8" x14ac:dyDescent="0.25">
      <c r="A122" s="86"/>
      <c r="B122" s="5"/>
      <c r="C122" s="5"/>
      <c r="D122" s="5"/>
      <c r="E122" s="5"/>
      <c r="F122" s="2"/>
      <c r="G122" s="2"/>
      <c r="H122" s="87"/>
    </row>
    <row r="123" spans="1:8" ht="13.5" customHeight="1" x14ac:dyDescent="0.25">
      <c r="A123" s="313">
        <v>9</v>
      </c>
      <c r="B123" s="314">
        <v>4</v>
      </c>
      <c r="C123" s="318" t="s">
        <v>9</v>
      </c>
      <c r="D123" s="378" t="s">
        <v>178</v>
      </c>
      <c r="E123" s="318" t="s">
        <v>10</v>
      </c>
      <c r="F123" s="69" t="s">
        <v>3</v>
      </c>
      <c r="G123" s="63" t="s">
        <v>105</v>
      </c>
      <c r="H123" s="83">
        <v>35</v>
      </c>
    </row>
    <row r="124" spans="1:8" x14ac:dyDescent="0.25">
      <c r="A124" s="313"/>
      <c r="B124" s="315"/>
      <c r="C124" s="318"/>
      <c r="D124" s="321"/>
      <c r="E124" s="318"/>
      <c r="F124" s="69" t="s">
        <v>4</v>
      </c>
      <c r="G124" s="63" t="s">
        <v>106</v>
      </c>
      <c r="H124" s="83">
        <v>33</v>
      </c>
    </row>
    <row r="125" spans="1:8" ht="12.75" customHeight="1" x14ac:dyDescent="0.25">
      <c r="A125" s="313"/>
      <c r="B125" s="316"/>
      <c r="C125" s="318"/>
      <c r="D125" s="322"/>
      <c r="E125" s="318"/>
      <c r="F125" s="69" t="s">
        <v>7</v>
      </c>
      <c r="G125" s="63" t="s">
        <v>107</v>
      </c>
      <c r="H125" s="83">
        <v>30</v>
      </c>
    </row>
    <row r="126" spans="1:8" x14ac:dyDescent="0.25">
      <c r="A126" s="313">
        <v>27</v>
      </c>
      <c r="B126" s="314">
        <v>4</v>
      </c>
      <c r="C126" s="317" t="s">
        <v>190</v>
      </c>
      <c r="D126" s="378" t="s">
        <v>178</v>
      </c>
      <c r="E126" s="318" t="s">
        <v>6</v>
      </c>
      <c r="F126" s="72" t="s">
        <v>21</v>
      </c>
      <c r="G126" s="27" t="s">
        <v>133</v>
      </c>
      <c r="H126" s="83">
        <v>14</v>
      </c>
    </row>
    <row r="127" spans="1:8" x14ac:dyDescent="0.25">
      <c r="A127" s="313"/>
      <c r="B127" s="315"/>
      <c r="C127" s="317"/>
      <c r="D127" s="321"/>
      <c r="E127" s="318"/>
      <c r="F127" s="72" t="s">
        <v>41</v>
      </c>
      <c r="G127" s="27" t="s">
        <v>134</v>
      </c>
      <c r="H127" s="83">
        <v>13</v>
      </c>
    </row>
    <row r="128" spans="1:8" x14ac:dyDescent="0.25">
      <c r="A128" s="313"/>
      <c r="B128" s="316"/>
      <c r="C128" s="317"/>
      <c r="D128" s="322"/>
      <c r="E128" s="318"/>
      <c r="F128" s="72" t="s">
        <v>42</v>
      </c>
      <c r="G128" s="27" t="s">
        <v>135</v>
      </c>
      <c r="H128" s="83">
        <v>12</v>
      </c>
    </row>
    <row r="129" spans="1:8" x14ac:dyDescent="0.25">
      <c r="A129" s="313">
        <v>28</v>
      </c>
      <c r="B129" s="314">
        <v>4</v>
      </c>
      <c r="C129" s="333" t="s">
        <v>189</v>
      </c>
      <c r="D129" s="383" t="s">
        <v>192</v>
      </c>
      <c r="E129" s="318" t="s">
        <v>6</v>
      </c>
      <c r="F129" s="72" t="s">
        <v>21</v>
      </c>
      <c r="G129" s="27" t="s">
        <v>136</v>
      </c>
      <c r="H129" s="83">
        <v>23</v>
      </c>
    </row>
    <row r="130" spans="1:8" x14ac:dyDescent="0.25">
      <c r="A130" s="313"/>
      <c r="B130" s="315"/>
      <c r="C130" s="318"/>
      <c r="D130" s="384"/>
      <c r="E130" s="318"/>
      <c r="F130" s="72" t="s">
        <v>41</v>
      </c>
      <c r="G130" s="27" t="s">
        <v>137</v>
      </c>
      <c r="H130" s="83">
        <v>22</v>
      </c>
    </row>
    <row r="131" spans="1:8" x14ac:dyDescent="0.25">
      <c r="A131" s="313"/>
      <c r="B131" s="316"/>
      <c r="C131" s="318"/>
      <c r="D131" s="385"/>
      <c r="E131" s="318"/>
      <c r="F131" s="72" t="s">
        <v>42</v>
      </c>
      <c r="G131" s="27" t="s">
        <v>138</v>
      </c>
      <c r="H131" s="83">
        <v>21</v>
      </c>
    </row>
    <row r="132" spans="1:8" ht="12.75" customHeight="1" x14ac:dyDescent="0.25">
      <c r="A132" s="77"/>
      <c r="G132" s="8"/>
      <c r="H132" s="78"/>
    </row>
    <row r="133" spans="1:8" ht="16.5" customHeight="1" x14ac:dyDescent="0.25">
      <c r="A133" s="105"/>
      <c r="B133" s="1"/>
      <c r="E133" s="136"/>
      <c r="H133" s="78"/>
    </row>
    <row r="134" spans="1:8" x14ac:dyDescent="0.25">
      <c r="A134" s="387" t="s">
        <v>40</v>
      </c>
      <c r="B134" s="388"/>
      <c r="C134" s="388"/>
      <c r="D134" s="388"/>
      <c r="E134" s="388"/>
      <c r="F134" s="388"/>
      <c r="G134" s="388"/>
      <c r="H134" s="389"/>
    </row>
    <row r="135" spans="1:8" ht="12.5" x14ac:dyDescent="0.25">
      <c r="A135" s="106"/>
      <c r="B135" s="142"/>
      <c r="C135" s="142"/>
      <c r="D135" s="142"/>
      <c r="E135" s="142"/>
      <c r="F135" s="142"/>
      <c r="G135" s="142"/>
      <c r="H135" s="107"/>
    </row>
    <row r="136" spans="1:8" x14ac:dyDescent="0.25">
      <c r="A136" s="323" t="s">
        <v>60</v>
      </c>
      <c r="B136" s="324"/>
      <c r="C136" s="324"/>
      <c r="D136" s="324"/>
      <c r="E136" s="324"/>
      <c r="F136" s="324"/>
      <c r="G136" s="324"/>
      <c r="H136" s="325"/>
    </row>
    <row r="137" spans="1:8" ht="16.5" customHeight="1" x14ac:dyDescent="0.25">
      <c r="A137" s="105"/>
      <c r="B137" s="1"/>
      <c r="E137" s="136"/>
      <c r="H137" s="78"/>
    </row>
    <row r="138" spans="1:8" ht="26" x14ac:dyDescent="0.25">
      <c r="A138" s="108" t="s">
        <v>5</v>
      </c>
      <c r="B138" s="22"/>
      <c r="C138" s="22" t="s">
        <v>0</v>
      </c>
      <c r="D138" s="46"/>
      <c r="E138" s="390" t="s">
        <v>1</v>
      </c>
      <c r="F138" s="391"/>
      <c r="G138" s="37" t="s">
        <v>14</v>
      </c>
      <c r="H138" s="109" t="s">
        <v>17</v>
      </c>
    </row>
    <row r="139" spans="1:8" ht="12.5" x14ac:dyDescent="0.25">
      <c r="A139" s="110"/>
      <c r="B139"/>
      <c r="C139"/>
      <c r="D139"/>
      <c r="E139"/>
      <c r="F139" s="3"/>
      <c r="G139" s="2"/>
      <c r="H139" s="87"/>
    </row>
    <row r="140" spans="1:8" ht="25.5" customHeight="1" x14ac:dyDescent="0.25">
      <c r="A140" s="81">
        <v>36</v>
      </c>
      <c r="B140" s="34" t="s">
        <v>216</v>
      </c>
      <c r="C140" s="39" t="s">
        <v>58</v>
      </c>
      <c r="D140" s="53"/>
      <c r="E140" s="342" t="s">
        <v>6</v>
      </c>
      <c r="F140" s="343"/>
      <c r="G140" s="27" t="s">
        <v>139</v>
      </c>
      <c r="H140" s="83">
        <v>38</v>
      </c>
    </row>
    <row r="141" spans="1:8" x14ac:dyDescent="0.25">
      <c r="A141" s="95"/>
      <c r="B141" s="140"/>
      <c r="C141" s="140"/>
      <c r="D141" s="140"/>
      <c r="E141" s="140"/>
      <c r="F141" s="140"/>
      <c r="G141" s="140"/>
      <c r="H141" s="96"/>
    </row>
    <row r="142" spans="1:8" ht="25.5" customHeight="1" x14ac:dyDescent="0.25">
      <c r="A142" s="392" t="s">
        <v>5</v>
      </c>
      <c r="B142" s="37"/>
      <c r="C142" s="394" t="s">
        <v>0</v>
      </c>
      <c r="D142" s="37"/>
      <c r="E142" s="394" t="s">
        <v>1</v>
      </c>
      <c r="F142" s="390" t="s">
        <v>86</v>
      </c>
      <c r="G142" s="396"/>
      <c r="H142" s="397"/>
    </row>
    <row r="143" spans="1:8" ht="25" x14ac:dyDescent="0.25">
      <c r="A143" s="393"/>
      <c r="B143" s="50"/>
      <c r="C143" s="395"/>
      <c r="D143" s="50"/>
      <c r="E143" s="395"/>
      <c r="F143" s="40" t="s">
        <v>168</v>
      </c>
      <c r="G143" s="24" t="s">
        <v>14</v>
      </c>
      <c r="H143" s="111" t="s">
        <v>17</v>
      </c>
    </row>
    <row r="144" spans="1:8" ht="12.75" customHeight="1" x14ac:dyDescent="0.25">
      <c r="A144" s="105"/>
      <c r="B144" s="1"/>
      <c r="H144" s="78"/>
    </row>
    <row r="145" spans="1:8" ht="25" x14ac:dyDescent="0.25">
      <c r="A145" s="313">
        <v>37</v>
      </c>
      <c r="B145" s="314" t="s">
        <v>216</v>
      </c>
      <c r="C145" s="319" t="s">
        <v>59</v>
      </c>
      <c r="D145" s="337"/>
      <c r="E145" s="319" t="s">
        <v>84</v>
      </c>
      <c r="F145" s="23" t="s">
        <v>85</v>
      </c>
      <c r="G145" s="27" t="s">
        <v>140</v>
      </c>
      <c r="H145" s="83">
        <v>148</v>
      </c>
    </row>
    <row r="146" spans="1:8" ht="24" customHeight="1" x14ac:dyDescent="0.25">
      <c r="A146" s="313"/>
      <c r="B146" s="315"/>
      <c r="C146" s="318"/>
      <c r="D146" s="335"/>
      <c r="E146" s="318"/>
      <c r="F146" s="23" t="s">
        <v>80</v>
      </c>
      <c r="G146" s="27" t="s">
        <v>141</v>
      </c>
      <c r="H146" s="83">
        <v>178</v>
      </c>
    </row>
    <row r="147" spans="1:8" ht="29.25" customHeight="1" x14ac:dyDescent="0.25">
      <c r="A147" s="313"/>
      <c r="B147" s="315"/>
      <c r="C147" s="318"/>
      <c r="D147" s="335"/>
      <c r="E147" s="318"/>
      <c r="F147" s="23" t="s">
        <v>81</v>
      </c>
      <c r="G147" s="27" t="s">
        <v>142</v>
      </c>
      <c r="H147" s="83">
        <v>198</v>
      </c>
    </row>
    <row r="148" spans="1:8" x14ac:dyDescent="0.25">
      <c r="A148" s="313"/>
      <c r="B148" s="315"/>
      <c r="C148" s="318"/>
      <c r="D148" s="335"/>
      <c r="E148" s="318"/>
      <c r="F148" s="23" t="s">
        <v>82</v>
      </c>
      <c r="G148" s="27" t="s">
        <v>143</v>
      </c>
      <c r="H148" s="83">
        <v>218</v>
      </c>
    </row>
    <row r="149" spans="1:8" ht="27" customHeight="1" x14ac:dyDescent="0.25">
      <c r="A149" s="313"/>
      <c r="B149" s="316"/>
      <c r="C149" s="318"/>
      <c r="D149" s="336"/>
      <c r="E149" s="318"/>
      <c r="F149" s="24" t="s">
        <v>43</v>
      </c>
      <c r="G149" s="27" t="s">
        <v>144</v>
      </c>
      <c r="H149" s="83">
        <v>248</v>
      </c>
    </row>
    <row r="150" spans="1:8" ht="12" customHeight="1" x14ac:dyDescent="0.25">
      <c r="A150" s="105"/>
      <c r="B150" s="1"/>
      <c r="C150" s="4"/>
      <c r="D150" s="4"/>
      <c r="E150" s="4"/>
      <c r="F150" s="4"/>
      <c r="G150" s="4"/>
      <c r="H150" s="100"/>
    </row>
    <row r="151" spans="1:8" ht="21" customHeight="1" x14ac:dyDescent="0.25">
      <c r="A151" s="392" t="s">
        <v>5</v>
      </c>
      <c r="B151" s="37"/>
      <c r="C151" s="394" t="s">
        <v>0</v>
      </c>
      <c r="D151" s="37"/>
      <c r="E151" s="394" t="s">
        <v>1</v>
      </c>
      <c r="F151" s="390" t="s">
        <v>31</v>
      </c>
      <c r="G151" s="396"/>
      <c r="H151" s="397"/>
    </row>
    <row r="152" spans="1:8" ht="25" x14ac:dyDescent="0.25">
      <c r="A152" s="393"/>
      <c r="B152" s="50"/>
      <c r="C152" s="395"/>
      <c r="D152" s="50"/>
      <c r="E152" s="395"/>
      <c r="F152" s="24" t="s">
        <v>32</v>
      </c>
      <c r="G152" s="24" t="s">
        <v>14</v>
      </c>
      <c r="H152" s="111" t="s">
        <v>17</v>
      </c>
    </row>
    <row r="153" spans="1:8" x14ac:dyDescent="0.25">
      <c r="A153" s="77"/>
      <c r="F153" s="9"/>
      <c r="G153" s="10"/>
      <c r="H153" s="98"/>
    </row>
    <row r="154" spans="1:8" x14ac:dyDescent="0.25">
      <c r="A154" s="313">
        <v>38</v>
      </c>
      <c r="B154" s="314" t="s">
        <v>216</v>
      </c>
      <c r="C154" s="333" t="s">
        <v>172</v>
      </c>
      <c r="D154" s="334"/>
      <c r="E154" s="320" t="s">
        <v>23</v>
      </c>
      <c r="F154" s="24" t="s">
        <v>20</v>
      </c>
      <c r="G154" s="27" t="s">
        <v>145</v>
      </c>
      <c r="H154" s="83">
        <v>26</v>
      </c>
    </row>
    <row r="155" spans="1:8" ht="12.75" customHeight="1" x14ac:dyDescent="0.25">
      <c r="A155" s="313"/>
      <c r="B155" s="315"/>
      <c r="C155" s="318"/>
      <c r="D155" s="338"/>
      <c r="E155" s="321"/>
      <c r="F155" s="23" t="s">
        <v>62</v>
      </c>
      <c r="G155" s="27" t="s">
        <v>146</v>
      </c>
      <c r="H155" s="83">
        <v>39</v>
      </c>
    </row>
    <row r="156" spans="1:8" x14ac:dyDescent="0.25">
      <c r="A156" s="313"/>
      <c r="B156" s="315"/>
      <c r="C156" s="318"/>
      <c r="D156" s="338"/>
      <c r="E156" s="321"/>
      <c r="F156" s="23" t="s">
        <v>63</v>
      </c>
      <c r="G156" s="27" t="s">
        <v>147</v>
      </c>
      <c r="H156" s="83">
        <v>55</v>
      </c>
    </row>
    <row r="157" spans="1:8" ht="25.5" customHeight="1" x14ac:dyDescent="0.25">
      <c r="A157" s="313"/>
      <c r="B157" s="315"/>
      <c r="C157" s="318"/>
      <c r="D157" s="338"/>
      <c r="E157" s="321"/>
      <c r="F157" s="23" t="s">
        <v>64</v>
      </c>
      <c r="G157" s="27" t="s">
        <v>148</v>
      </c>
      <c r="H157" s="83">
        <v>64</v>
      </c>
    </row>
    <row r="158" spans="1:8" x14ac:dyDescent="0.25">
      <c r="A158" s="313"/>
      <c r="B158" s="316"/>
      <c r="C158" s="318"/>
      <c r="D158" s="339"/>
      <c r="E158" s="322"/>
      <c r="F158" s="24" t="s">
        <v>34</v>
      </c>
      <c r="G158" s="27" t="s">
        <v>149</v>
      </c>
      <c r="H158" s="83">
        <v>78</v>
      </c>
    </row>
    <row r="159" spans="1:8" ht="12.5" x14ac:dyDescent="0.25">
      <c r="A159" s="105"/>
      <c r="B159" s="1"/>
      <c r="H159" s="78"/>
    </row>
    <row r="160" spans="1:8" ht="13.15" customHeight="1" x14ac:dyDescent="0.25">
      <c r="A160" s="323" t="s">
        <v>11</v>
      </c>
      <c r="B160" s="324"/>
      <c r="C160" s="324"/>
      <c r="D160" s="324"/>
      <c r="E160" s="324"/>
      <c r="F160" s="324"/>
      <c r="G160" s="324"/>
      <c r="H160" s="325"/>
    </row>
    <row r="161" spans="1:8" ht="12.75" customHeight="1" x14ac:dyDescent="0.25">
      <c r="A161" s="105"/>
      <c r="B161" s="1"/>
      <c r="G161" s="140"/>
      <c r="H161" s="96"/>
    </row>
    <row r="162" spans="1:8" ht="26" x14ac:dyDescent="0.25">
      <c r="A162" s="108" t="s">
        <v>5</v>
      </c>
      <c r="B162" s="22"/>
      <c r="C162" s="22" t="s">
        <v>0</v>
      </c>
      <c r="D162" s="46"/>
      <c r="E162" s="390" t="s">
        <v>1</v>
      </c>
      <c r="F162" s="391"/>
      <c r="G162" s="22" t="s">
        <v>14</v>
      </c>
      <c r="H162" s="112" t="s">
        <v>17</v>
      </c>
    </row>
    <row r="163" spans="1:8" ht="12.75" customHeight="1" x14ac:dyDescent="0.25">
      <c r="A163" s="105"/>
      <c r="B163" s="1"/>
      <c r="H163" s="78"/>
    </row>
    <row r="164" spans="1:8" x14ac:dyDescent="0.25">
      <c r="A164" s="81">
        <v>39</v>
      </c>
      <c r="B164" s="34"/>
      <c r="C164" s="36" t="s">
        <v>12</v>
      </c>
      <c r="D164" s="47"/>
      <c r="E164" s="342" t="s">
        <v>10</v>
      </c>
      <c r="F164" s="343"/>
      <c r="G164" s="27" t="s">
        <v>150</v>
      </c>
      <c r="H164" s="83">
        <v>33</v>
      </c>
    </row>
    <row r="165" spans="1:8" ht="12.5" x14ac:dyDescent="0.25">
      <c r="A165" s="105"/>
      <c r="B165" s="1"/>
      <c r="H165" s="78"/>
    </row>
    <row r="166" spans="1:8" ht="12.75" customHeight="1" x14ac:dyDescent="0.25">
      <c r="A166" s="398" t="s">
        <v>19</v>
      </c>
      <c r="B166" s="399"/>
      <c r="C166" s="399"/>
      <c r="D166" s="399"/>
      <c r="E166" s="399"/>
      <c r="F166" s="143"/>
      <c r="G166" s="143"/>
      <c r="H166" s="113"/>
    </row>
    <row r="167" spans="1:8" ht="12.5" x14ac:dyDescent="0.25">
      <c r="A167" s="105"/>
      <c r="B167" s="1"/>
      <c r="H167" s="78"/>
    </row>
    <row r="168" spans="1:8" x14ac:dyDescent="0.25">
      <c r="A168" s="400" t="s">
        <v>5</v>
      </c>
      <c r="B168" s="402" t="s">
        <v>206</v>
      </c>
      <c r="C168" s="402" t="s">
        <v>0</v>
      </c>
      <c r="D168" s="48"/>
      <c r="E168" s="402" t="s">
        <v>1</v>
      </c>
      <c r="F168" s="404" t="s">
        <v>31</v>
      </c>
      <c r="G168" s="405"/>
      <c r="H168" s="406"/>
    </row>
    <row r="169" spans="1:8" ht="12.75" customHeight="1" x14ac:dyDescent="0.25">
      <c r="A169" s="401"/>
      <c r="B169" s="403"/>
      <c r="C169" s="403"/>
      <c r="D169" s="49"/>
      <c r="E169" s="403"/>
      <c r="F169" s="29" t="s">
        <v>32</v>
      </c>
      <c r="G169" s="29" t="s">
        <v>14</v>
      </c>
      <c r="H169" s="114" t="s">
        <v>17</v>
      </c>
    </row>
    <row r="170" spans="1:8" ht="12.75" customHeight="1" x14ac:dyDescent="0.25">
      <c r="A170" s="110"/>
      <c r="B170"/>
      <c r="C170"/>
      <c r="D170"/>
      <c r="E170"/>
      <c r="F170"/>
      <c r="G170"/>
      <c r="H170" s="115"/>
    </row>
    <row r="171" spans="1:8" x14ac:dyDescent="0.25">
      <c r="A171" s="313">
        <v>40</v>
      </c>
      <c r="B171" s="314" t="s">
        <v>217</v>
      </c>
      <c r="C171" s="318" t="s">
        <v>18</v>
      </c>
      <c r="D171" s="320"/>
      <c r="E171" s="318" t="s">
        <v>6</v>
      </c>
      <c r="F171" s="30" t="s">
        <v>61</v>
      </c>
      <c r="G171" s="27" t="s">
        <v>151</v>
      </c>
      <c r="H171" s="83">
        <v>128</v>
      </c>
    </row>
    <row r="172" spans="1:8" x14ac:dyDescent="0.25">
      <c r="A172" s="313"/>
      <c r="B172" s="315"/>
      <c r="C172" s="318"/>
      <c r="D172" s="321"/>
      <c r="E172" s="318"/>
      <c r="F172" s="30" t="s">
        <v>66</v>
      </c>
      <c r="G172" s="27" t="s">
        <v>152</v>
      </c>
      <c r="H172" s="83">
        <v>158</v>
      </c>
    </row>
    <row r="173" spans="1:8" x14ac:dyDescent="0.25">
      <c r="A173" s="313"/>
      <c r="B173" s="316"/>
      <c r="C173" s="318"/>
      <c r="D173" s="322"/>
      <c r="E173" s="318"/>
      <c r="F173" s="30" t="s">
        <v>34</v>
      </c>
      <c r="G173" s="27" t="s">
        <v>153</v>
      </c>
      <c r="H173" s="83">
        <v>198</v>
      </c>
    </row>
    <row r="174" spans="1:8" ht="27.75" customHeight="1" x14ac:dyDescent="0.25">
      <c r="A174" s="105"/>
      <c r="B174" s="1"/>
      <c r="H174" s="78"/>
    </row>
    <row r="175" spans="1:8" ht="26.25" customHeight="1" x14ac:dyDescent="0.25">
      <c r="A175" s="313">
        <v>56</v>
      </c>
      <c r="B175" s="314" t="s">
        <v>217</v>
      </c>
      <c r="C175" s="333" t="s">
        <v>76</v>
      </c>
      <c r="D175" s="334"/>
      <c r="E175" s="333" t="s">
        <v>78</v>
      </c>
      <c r="F175" s="31" t="s">
        <v>79</v>
      </c>
      <c r="G175" s="28" t="s">
        <v>154</v>
      </c>
      <c r="H175" s="83">
        <v>198</v>
      </c>
    </row>
    <row r="176" spans="1:8" ht="26.25" customHeight="1" x14ac:dyDescent="0.25">
      <c r="A176" s="313"/>
      <c r="B176" s="315"/>
      <c r="C176" s="333"/>
      <c r="D176" s="338"/>
      <c r="E176" s="333"/>
      <c r="F176" s="31" t="s">
        <v>80</v>
      </c>
      <c r="G176" s="28" t="s">
        <v>155</v>
      </c>
      <c r="H176" s="83">
        <v>238</v>
      </c>
    </row>
    <row r="177" spans="1:8" ht="26.25" customHeight="1" x14ac:dyDescent="0.25">
      <c r="A177" s="313"/>
      <c r="B177" s="315"/>
      <c r="C177" s="333"/>
      <c r="D177" s="338"/>
      <c r="E177" s="333"/>
      <c r="F177" s="31" t="s">
        <v>81</v>
      </c>
      <c r="G177" s="28" t="s">
        <v>156</v>
      </c>
      <c r="H177" s="83">
        <v>278</v>
      </c>
    </row>
    <row r="178" spans="1:8" ht="26.25" customHeight="1" x14ac:dyDescent="0.25">
      <c r="A178" s="313"/>
      <c r="B178" s="315"/>
      <c r="C178" s="333"/>
      <c r="D178" s="338"/>
      <c r="E178" s="333"/>
      <c r="F178" s="31" t="s">
        <v>82</v>
      </c>
      <c r="G178" s="28" t="s">
        <v>157</v>
      </c>
      <c r="H178" s="83">
        <v>298</v>
      </c>
    </row>
    <row r="179" spans="1:8" ht="26.25" customHeight="1" x14ac:dyDescent="0.25">
      <c r="A179" s="313"/>
      <c r="B179" s="316"/>
      <c r="C179" s="333"/>
      <c r="D179" s="339"/>
      <c r="E179" s="333"/>
      <c r="F179" s="31" t="s">
        <v>43</v>
      </c>
      <c r="G179" s="28" t="s">
        <v>158</v>
      </c>
      <c r="H179" s="83">
        <v>328</v>
      </c>
    </row>
    <row r="180" spans="1:8" x14ac:dyDescent="0.25">
      <c r="A180" s="77"/>
      <c r="C180" s="141"/>
      <c r="D180" s="141"/>
      <c r="F180" s="136"/>
      <c r="G180" s="144"/>
      <c r="H180" s="78"/>
    </row>
    <row r="181" spans="1:8" ht="12.75" customHeight="1" x14ac:dyDescent="0.25">
      <c r="A181" s="313">
        <v>57</v>
      </c>
      <c r="B181" s="314" t="s">
        <v>217</v>
      </c>
      <c r="C181" s="333" t="s">
        <v>77</v>
      </c>
      <c r="D181" s="334"/>
      <c r="E181" s="334" t="s">
        <v>30</v>
      </c>
      <c r="F181" s="31" t="s">
        <v>24</v>
      </c>
      <c r="G181" s="28" t="s">
        <v>159</v>
      </c>
      <c r="H181" s="82">
        <v>28</v>
      </c>
    </row>
    <row r="182" spans="1:8" x14ac:dyDescent="0.25">
      <c r="A182" s="313"/>
      <c r="B182" s="315"/>
      <c r="C182" s="333"/>
      <c r="D182" s="338"/>
      <c r="E182" s="338"/>
      <c r="F182" s="31" t="s">
        <v>25</v>
      </c>
      <c r="G182" s="28" t="s">
        <v>160</v>
      </c>
      <c r="H182" s="82">
        <v>38</v>
      </c>
    </row>
    <row r="183" spans="1:8" x14ac:dyDescent="0.25">
      <c r="A183" s="313"/>
      <c r="B183" s="315"/>
      <c r="C183" s="333"/>
      <c r="D183" s="338"/>
      <c r="E183" s="338"/>
      <c r="F183" s="31" t="s">
        <v>26</v>
      </c>
      <c r="G183" s="28" t="s">
        <v>161</v>
      </c>
      <c r="H183" s="82">
        <v>43</v>
      </c>
    </row>
    <row r="184" spans="1:8" x14ac:dyDescent="0.25">
      <c r="A184" s="313"/>
      <c r="B184" s="315"/>
      <c r="C184" s="333"/>
      <c r="D184" s="338"/>
      <c r="E184" s="338"/>
      <c r="F184" s="31" t="s">
        <v>28</v>
      </c>
      <c r="G184" s="28" t="s">
        <v>162</v>
      </c>
      <c r="H184" s="83">
        <v>49</v>
      </c>
    </row>
    <row r="185" spans="1:8" x14ac:dyDescent="0.25">
      <c r="A185" s="313"/>
      <c r="B185" s="316"/>
      <c r="C185" s="333"/>
      <c r="D185" s="339"/>
      <c r="E185" s="339"/>
      <c r="F185" s="31" t="s">
        <v>29</v>
      </c>
      <c r="G185" s="28" t="s">
        <v>163</v>
      </c>
      <c r="H185" s="83">
        <v>53</v>
      </c>
    </row>
    <row r="186" spans="1:8" x14ac:dyDescent="0.25">
      <c r="A186" s="77"/>
      <c r="H186" s="78"/>
    </row>
    <row r="187" spans="1:8" x14ac:dyDescent="0.25">
      <c r="A187" s="424" t="s">
        <v>72</v>
      </c>
      <c r="B187" s="425"/>
      <c r="C187" s="425"/>
      <c r="D187" s="425"/>
      <c r="E187" s="425"/>
      <c r="F187" s="425"/>
      <c r="G187" s="145"/>
      <c r="H187" s="116"/>
    </row>
    <row r="188" spans="1:8" ht="12.5" x14ac:dyDescent="0.25">
      <c r="A188" s="117"/>
      <c r="B188" s="139"/>
      <c r="C188" s="139"/>
      <c r="D188" s="139"/>
      <c r="E188" s="139"/>
      <c r="F188" s="139"/>
      <c r="G188" s="139"/>
      <c r="H188" s="118"/>
    </row>
    <row r="189" spans="1:8" ht="12.75" customHeight="1" x14ac:dyDescent="0.25">
      <c r="A189" s="426" t="s">
        <v>5</v>
      </c>
      <c r="B189" s="44"/>
      <c r="C189" s="428" t="s">
        <v>0</v>
      </c>
      <c r="D189" s="44"/>
      <c r="E189" s="428" t="s">
        <v>1</v>
      </c>
      <c r="F189" s="430" t="s">
        <v>31</v>
      </c>
      <c r="G189" s="431"/>
      <c r="H189" s="432"/>
    </row>
    <row r="190" spans="1:8" ht="25" x14ac:dyDescent="0.25">
      <c r="A190" s="427"/>
      <c r="B190" s="45" t="s">
        <v>173</v>
      </c>
      <c r="C190" s="429"/>
      <c r="D190" s="45"/>
      <c r="E190" s="429"/>
      <c r="F190" s="25" t="s">
        <v>32</v>
      </c>
      <c r="G190" s="25" t="s">
        <v>14</v>
      </c>
      <c r="H190" s="119" t="s">
        <v>17</v>
      </c>
    </row>
    <row r="191" spans="1:8" ht="12.75" customHeight="1" x14ac:dyDescent="0.25">
      <c r="A191" s="93"/>
      <c r="B191" s="138"/>
      <c r="C191" s="139"/>
      <c r="D191" s="139"/>
      <c r="E191" s="139"/>
      <c r="F191" s="139"/>
      <c r="G191" s="146"/>
      <c r="H191" s="120"/>
    </row>
    <row r="192" spans="1:8" x14ac:dyDescent="0.25">
      <c r="A192" s="121">
        <v>51</v>
      </c>
      <c r="B192" s="18" t="s">
        <v>218</v>
      </c>
      <c r="C192" s="17" t="s">
        <v>71</v>
      </c>
      <c r="D192" s="41"/>
      <c r="E192" s="411" t="s">
        <v>83</v>
      </c>
      <c r="F192" s="412"/>
      <c r="G192" s="28" t="s">
        <v>164</v>
      </c>
      <c r="H192" s="122">
        <v>13</v>
      </c>
    </row>
    <row r="193" spans="1:8" ht="15" customHeight="1" x14ac:dyDescent="0.25">
      <c r="A193" s="77"/>
      <c r="H193" s="78"/>
    </row>
    <row r="194" spans="1:8" x14ac:dyDescent="0.25">
      <c r="A194" s="415" t="s">
        <v>183</v>
      </c>
      <c r="B194" s="416"/>
      <c r="C194" s="416"/>
      <c r="D194" s="416"/>
      <c r="E194" s="416"/>
      <c r="F194" s="416"/>
      <c r="G194" s="147"/>
      <c r="H194" s="123"/>
    </row>
    <row r="195" spans="1:8" ht="12.5" x14ac:dyDescent="0.25">
      <c r="A195" s="117"/>
      <c r="B195" s="139"/>
      <c r="C195" s="139"/>
      <c r="D195" s="139"/>
      <c r="E195" s="139"/>
      <c r="F195" s="139"/>
      <c r="G195" s="139"/>
      <c r="H195" s="118"/>
    </row>
    <row r="196" spans="1:8" x14ac:dyDescent="0.25">
      <c r="A196" s="417" t="s">
        <v>5</v>
      </c>
      <c r="B196" s="42"/>
      <c r="C196" s="419" t="s">
        <v>0</v>
      </c>
      <c r="D196" s="42"/>
      <c r="E196" s="419" t="s">
        <v>1</v>
      </c>
      <c r="F196" s="421" t="s">
        <v>31</v>
      </c>
      <c r="G196" s="422"/>
      <c r="H196" s="423"/>
    </row>
    <row r="197" spans="1:8" ht="25" x14ac:dyDescent="0.25">
      <c r="A197" s="418"/>
      <c r="B197" s="43" t="s">
        <v>173</v>
      </c>
      <c r="C197" s="420"/>
      <c r="D197" s="43"/>
      <c r="E197" s="420"/>
      <c r="F197" s="26" t="s">
        <v>32</v>
      </c>
      <c r="G197" s="26" t="s">
        <v>14</v>
      </c>
      <c r="H197" s="124" t="s">
        <v>17</v>
      </c>
    </row>
    <row r="198" spans="1:8" ht="12.75" customHeight="1" x14ac:dyDescent="0.25">
      <c r="A198" s="93"/>
      <c r="B198" s="138"/>
      <c r="C198" s="139"/>
      <c r="D198" s="139"/>
      <c r="E198" s="139"/>
      <c r="F198" s="139"/>
      <c r="G198" s="146"/>
      <c r="H198" s="120"/>
    </row>
    <row r="199" spans="1:8" ht="25" customHeight="1" x14ac:dyDescent="0.25">
      <c r="A199" s="121">
        <v>48</v>
      </c>
      <c r="B199" s="18" t="s">
        <v>219</v>
      </c>
      <c r="C199" s="17" t="s">
        <v>73</v>
      </c>
      <c r="D199" s="41"/>
      <c r="E199" s="411" t="s">
        <v>70</v>
      </c>
      <c r="F199" s="412"/>
      <c r="G199" s="32" t="s">
        <v>165</v>
      </c>
      <c r="H199" s="125">
        <v>38</v>
      </c>
    </row>
    <row r="200" spans="1:8" ht="25" customHeight="1" x14ac:dyDescent="0.25">
      <c r="A200" s="121">
        <v>49</v>
      </c>
      <c r="B200" s="18" t="s">
        <v>219</v>
      </c>
      <c r="C200" s="17" t="s">
        <v>74</v>
      </c>
      <c r="D200" s="41"/>
      <c r="E200" s="411" t="s">
        <v>70</v>
      </c>
      <c r="F200" s="412"/>
      <c r="G200" s="33" t="s">
        <v>166</v>
      </c>
      <c r="H200" s="125">
        <v>48</v>
      </c>
    </row>
    <row r="201" spans="1:8" ht="25" customHeight="1" thickBot="1" x14ac:dyDescent="0.3">
      <c r="A201" s="126">
        <v>50</v>
      </c>
      <c r="B201" s="127" t="s">
        <v>219</v>
      </c>
      <c r="C201" s="128" t="s">
        <v>75</v>
      </c>
      <c r="D201" s="129"/>
      <c r="E201" s="413" t="s">
        <v>70</v>
      </c>
      <c r="F201" s="414"/>
      <c r="G201" s="130" t="s">
        <v>167</v>
      </c>
      <c r="H201" s="131">
        <v>70</v>
      </c>
    </row>
    <row r="202" spans="1:8" x14ac:dyDescent="0.25">
      <c r="G202" s="14"/>
      <c r="H202" s="4"/>
    </row>
    <row r="203" spans="1:8" ht="12.75" customHeight="1" x14ac:dyDescent="0.25">
      <c r="A203" s="323" t="s">
        <v>194</v>
      </c>
      <c r="B203" s="324"/>
      <c r="C203" s="324"/>
      <c r="D203" s="324"/>
      <c r="E203" s="324"/>
      <c r="F203" s="324"/>
      <c r="G203" s="324"/>
      <c r="H203" s="115"/>
    </row>
    <row r="204" spans="1:8" x14ac:dyDescent="0.25">
      <c r="A204" s="417" t="s">
        <v>5</v>
      </c>
      <c r="B204" s="42"/>
      <c r="C204" s="419" t="s">
        <v>0</v>
      </c>
      <c r="D204" s="42"/>
      <c r="E204" s="419" t="s">
        <v>1</v>
      </c>
      <c r="F204" s="421" t="s">
        <v>31</v>
      </c>
      <c r="G204" s="422"/>
      <c r="H204" s="423"/>
    </row>
    <row r="205" spans="1:8" ht="25" x14ac:dyDescent="0.25">
      <c r="A205" s="418"/>
      <c r="B205" s="43" t="s">
        <v>173</v>
      </c>
      <c r="C205" s="420"/>
      <c r="D205" s="43"/>
      <c r="E205" s="420"/>
      <c r="F205" s="26" t="s">
        <v>32</v>
      </c>
      <c r="G205" s="26" t="s">
        <v>14</v>
      </c>
      <c r="H205" s="124" t="s">
        <v>17</v>
      </c>
    </row>
    <row r="206" spans="1:8" ht="41.25" customHeight="1" x14ac:dyDescent="0.25">
      <c r="A206" s="103" t="s">
        <v>185</v>
      </c>
      <c r="B206" s="62" t="s">
        <v>226</v>
      </c>
      <c r="C206" s="70" t="s">
        <v>229</v>
      </c>
      <c r="D206" s="70"/>
      <c r="E206" s="70" t="s">
        <v>195</v>
      </c>
      <c r="F206" s="71" t="s">
        <v>178</v>
      </c>
      <c r="G206" s="62" t="s">
        <v>185</v>
      </c>
      <c r="H206" s="148">
        <v>15</v>
      </c>
    </row>
    <row r="207" spans="1:8" ht="27" customHeight="1" x14ac:dyDescent="0.25">
      <c r="A207" s="365" t="s">
        <v>185</v>
      </c>
      <c r="B207" s="366" t="s">
        <v>227</v>
      </c>
      <c r="C207" s="369" t="s">
        <v>197</v>
      </c>
      <c r="D207" s="369"/>
      <c r="E207" s="369" t="s">
        <v>196</v>
      </c>
      <c r="F207" s="154" t="s">
        <v>238</v>
      </c>
      <c r="G207" s="62" t="s">
        <v>185</v>
      </c>
      <c r="H207" s="148">
        <v>148</v>
      </c>
    </row>
    <row r="208" spans="1:8" ht="27" customHeight="1" thickBot="1" x14ac:dyDescent="0.3">
      <c r="A208" s="365"/>
      <c r="B208" s="368"/>
      <c r="C208" s="370"/>
      <c r="D208" s="370"/>
      <c r="E208" s="370"/>
      <c r="F208" s="235" t="s">
        <v>235</v>
      </c>
      <c r="G208" s="62" t="s">
        <v>185</v>
      </c>
      <c r="H208" s="148">
        <v>158</v>
      </c>
    </row>
    <row r="209" ht="9" customHeight="1" x14ac:dyDescent="0.25"/>
  </sheetData>
  <mergeCells count="211">
    <mergeCell ref="A2:H2"/>
    <mergeCell ref="A207:A208"/>
    <mergeCell ref="B207:B208"/>
    <mergeCell ref="C207:C208"/>
    <mergeCell ref="D207:D208"/>
    <mergeCell ref="A203:G203"/>
    <mergeCell ref="E207:E208"/>
    <mergeCell ref="A204:A205"/>
    <mergeCell ref="C204:C205"/>
    <mergeCell ref="E204:E205"/>
    <mergeCell ref="F204:H204"/>
    <mergeCell ref="D68:D72"/>
    <mergeCell ref="E68:E72"/>
    <mergeCell ref="B100:B102"/>
    <mergeCell ref="F104:H104"/>
    <mergeCell ref="D100:D102"/>
    <mergeCell ref="D107:D112"/>
    <mergeCell ref="A175:A179"/>
    <mergeCell ref="C175:C179"/>
    <mergeCell ref="E175:E179"/>
    <mergeCell ref="D171:D173"/>
    <mergeCell ref="D175:D179"/>
    <mergeCell ref="B181:B185"/>
    <mergeCell ref="B175:B179"/>
    <mergeCell ref="D1:H1"/>
    <mergeCell ref="E53:F53"/>
    <mergeCell ref="E55:F55"/>
    <mergeCell ref="A65:A66"/>
    <mergeCell ref="E199:F199"/>
    <mergeCell ref="E200:F200"/>
    <mergeCell ref="E201:F201"/>
    <mergeCell ref="E192:F192"/>
    <mergeCell ref="A194:F194"/>
    <mergeCell ref="A196:A197"/>
    <mergeCell ref="C196:C197"/>
    <mergeCell ref="E196:E197"/>
    <mergeCell ref="F196:H196"/>
    <mergeCell ref="A181:A185"/>
    <mergeCell ref="C181:C185"/>
    <mergeCell ref="E181:E185"/>
    <mergeCell ref="A187:F187"/>
    <mergeCell ref="A189:A190"/>
    <mergeCell ref="C189:C190"/>
    <mergeCell ref="E189:E190"/>
    <mergeCell ref="F189:H189"/>
    <mergeCell ref="A171:A173"/>
    <mergeCell ref="C171:C173"/>
    <mergeCell ref="E171:E173"/>
    <mergeCell ref="B171:B173"/>
    <mergeCell ref="D181:D185"/>
    <mergeCell ref="A160:H160"/>
    <mergeCell ref="E162:F162"/>
    <mergeCell ref="E164:F164"/>
    <mergeCell ref="A166:E166"/>
    <mergeCell ref="A168:A169"/>
    <mergeCell ref="C168:C169"/>
    <mergeCell ref="E168:E169"/>
    <mergeCell ref="F168:H168"/>
    <mergeCell ref="B168:B169"/>
    <mergeCell ref="A151:A152"/>
    <mergeCell ref="C151:C152"/>
    <mergeCell ref="E151:E152"/>
    <mergeCell ref="F151:H151"/>
    <mergeCell ref="A154:A158"/>
    <mergeCell ref="C154:C158"/>
    <mergeCell ref="E154:E158"/>
    <mergeCell ref="D154:D158"/>
    <mergeCell ref="B154:B158"/>
    <mergeCell ref="A145:A149"/>
    <mergeCell ref="C145:C149"/>
    <mergeCell ref="E145:E149"/>
    <mergeCell ref="A134:H134"/>
    <mergeCell ref="A136:H136"/>
    <mergeCell ref="E138:F138"/>
    <mergeCell ref="E140:F140"/>
    <mergeCell ref="D145:D149"/>
    <mergeCell ref="B145:B149"/>
    <mergeCell ref="A142:A143"/>
    <mergeCell ref="C142:C143"/>
    <mergeCell ref="E142:E143"/>
    <mergeCell ref="F142:H142"/>
    <mergeCell ref="D126:D128"/>
    <mergeCell ref="D129:D131"/>
    <mergeCell ref="A107:A112"/>
    <mergeCell ref="C107:C112"/>
    <mergeCell ref="E107:E112"/>
    <mergeCell ref="A129:A131"/>
    <mergeCell ref="B129:B131"/>
    <mergeCell ref="C129:C131"/>
    <mergeCell ref="E129:E131"/>
    <mergeCell ref="E93:E97"/>
    <mergeCell ref="D93:D97"/>
    <mergeCell ref="B93:B97"/>
    <mergeCell ref="A123:A125"/>
    <mergeCell ref="C123:C125"/>
    <mergeCell ref="E123:E125"/>
    <mergeCell ref="B107:B112"/>
    <mergeCell ref="E100:E102"/>
    <mergeCell ref="A104:A105"/>
    <mergeCell ref="C104:C105"/>
    <mergeCell ref="E104:E105"/>
    <mergeCell ref="E114:F114"/>
    <mergeCell ref="E116:F116"/>
    <mergeCell ref="D123:D125"/>
    <mergeCell ref="B123:B125"/>
    <mergeCell ref="B104:B105"/>
    <mergeCell ref="A118:H118"/>
    <mergeCell ref="A120:A121"/>
    <mergeCell ref="C120:C121"/>
    <mergeCell ref="E120:E121"/>
    <mergeCell ref="E59:F59"/>
    <mergeCell ref="A63:H63"/>
    <mergeCell ref="A74:A75"/>
    <mergeCell ref="C74:C75"/>
    <mergeCell ref="E74:E75"/>
    <mergeCell ref="F74:H74"/>
    <mergeCell ref="D77:D81"/>
    <mergeCell ref="B77:B81"/>
    <mergeCell ref="D74:D75"/>
    <mergeCell ref="E61:F61"/>
    <mergeCell ref="B74:B75"/>
    <mergeCell ref="B65:B66"/>
    <mergeCell ref="C65:C66"/>
    <mergeCell ref="D65:D66"/>
    <mergeCell ref="E65:E66"/>
    <mergeCell ref="F65:H65"/>
    <mergeCell ref="A68:A72"/>
    <mergeCell ref="B68:B72"/>
    <mergeCell ref="C68:C72"/>
    <mergeCell ref="F120:H120"/>
    <mergeCell ref="A77:A81"/>
    <mergeCell ref="C77:C81"/>
    <mergeCell ref="E77:E81"/>
    <mergeCell ref="A83:A84"/>
    <mergeCell ref="C83:C84"/>
    <mergeCell ref="E83:E84"/>
    <mergeCell ref="F83:H83"/>
    <mergeCell ref="A86:A88"/>
    <mergeCell ref="C86:C88"/>
    <mergeCell ref="E86:E88"/>
    <mergeCell ref="A90:A91"/>
    <mergeCell ref="C90:C91"/>
    <mergeCell ref="E90:E91"/>
    <mergeCell ref="F90:H90"/>
    <mergeCell ref="D86:D88"/>
    <mergeCell ref="D83:D84"/>
    <mergeCell ref="D90:D91"/>
    <mergeCell ref="B86:B88"/>
    <mergeCell ref="B83:B84"/>
    <mergeCell ref="A100:A102"/>
    <mergeCell ref="C100:C102"/>
    <mergeCell ref="A93:A97"/>
    <mergeCell ref="C93:C97"/>
    <mergeCell ref="A26:A27"/>
    <mergeCell ref="C26:C27"/>
    <mergeCell ref="E26:E27"/>
    <mergeCell ref="D26:D27"/>
    <mergeCell ref="B26:B27"/>
    <mergeCell ref="E48:F48"/>
    <mergeCell ref="E51:F51"/>
    <mergeCell ref="E57:F57"/>
    <mergeCell ref="A44:H44"/>
    <mergeCell ref="A46:H46"/>
    <mergeCell ref="F6:H6"/>
    <mergeCell ref="D6:D7"/>
    <mergeCell ref="B6:B7"/>
    <mergeCell ref="D9:D13"/>
    <mergeCell ref="B9:B13"/>
    <mergeCell ref="D20:D24"/>
    <mergeCell ref="B20:B24"/>
    <mergeCell ref="A36:A40"/>
    <mergeCell ref="C36:C40"/>
    <mergeCell ref="E36:E40"/>
    <mergeCell ref="D36:D40"/>
    <mergeCell ref="B36:B40"/>
    <mergeCell ref="F26:H26"/>
    <mergeCell ref="A29:A31"/>
    <mergeCell ref="C29:C31"/>
    <mergeCell ref="E29:E31"/>
    <mergeCell ref="A33:A34"/>
    <mergeCell ref="C33:C34"/>
    <mergeCell ref="E33:E34"/>
    <mergeCell ref="F33:H33"/>
    <mergeCell ref="D29:D31"/>
    <mergeCell ref="D33:D34"/>
    <mergeCell ref="B33:B34"/>
    <mergeCell ref="B29:B31"/>
    <mergeCell ref="A25:G25"/>
    <mergeCell ref="A1:C1"/>
    <mergeCell ref="A3:H3"/>
    <mergeCell ref="A126:A128"/>
    <mergeCell ref="B126:B128"/>
    <mergeCell ref="C126:C128"/>
    <mergeCell ref="E126:E128"/>
    <mergeCell ref="A9:A13"/>
    <mergeCell ref="C9:C13"/>
    <mergeCell ref="E9:E13"/>
    <mergeCell ref="A15:H15"/>
    <mergeCell ref="A17:A18"/>
    <mergeCell ref="C17:C18"/>
    <mergeCell ref="E17:E18"/>
    <mergeCell ref="F17:H17"/>
    <mergeCell ref="B17:B18"/>
    <mergeCell ref="D17:D18"/>
    <mergeCell ref="A20:A24"/>
    <mergeCell ref="C20:C24"/>
    <mergeCell ref="E20:E24"/>
    <mergeCell ref="A4:H4"/>
    <mergeCell ref="A6:A7"/>
    <mergeCell ref="C6:C7"/>
    <mergeCell ref="E6:E7"/>
  </mergeCells>
  <phoneticPr fontId="11" type="noConversion"/>
  <pageMargins left="0.19685039370078741" right="0.15748031496062992" top="0.51181102362204722" bottom="0.39370078740157483" header="0.15748031496062992" footer="0.15748031496062992"/>
  <pageSetup paperSize="9" scale="66" fitToHeight="0" orientation="portrait" r:id="rId1"/>
  <headerFooter alignWithMargins="0">
    <oddHeader>&amp;LMission de diagnostic Technique
Amiante, Plomb, HAP, Termites, ERP, DPE, EIE et EIG&amp;RAnnexe à l'acte d'engagement 
Bordereau des prix unitaires</oddHeader>
    <oddFooter>&amp;COPH D'AUBERVILLIERS&amp;R&amp;P/&amp;N</oddFooter>
  </headerFooter>
  <rowBreaks count="3" manualBreakCount="3">
    <brk id="98" max="6" man="1"/>
    <brk id="116" max="6" man="1"/>
    <brk id="16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64A4-FD44-4F1D-8C4A-0C4ACC0679D8}">
  <sheetPr>
    <tabColor theme="9" tint="-0.249977111117893"/>
    <pageSetUpPr fitToPage="1"/>
  </sheetPr>
  <dimension ref="A1:M212"/>
  <sheetViews>
    <sheetView view="pageBreakPreview" topLeftCell="A204" zoomScale="85" zoomScaleNormal="100" zoomScaleSheetLayoutView="85" zoomScalePageLayoutView="85" workbookViewId="0">
      <selection activeCell="H11" sqref="H11"/>
    </sheetView>
  </sheetViews>
  <sheetFormatPr baseColWidth="10" defaultColWidth="11.453125" defaultRowHeight="13" x14ac:dyDescent="0.25"/>
  <cols>
    <col min="1" max="1" width="6" style="152" customWidth="1"/>
    <col min="2" max="2" width="8" style="152" customWidth="1"/>
    <col min="3" max="3" width="38.26953125" style="151" customWidth="1"/>
    <col min="4" max="4" width="29.26953125" style="151" customWidth="1"/>
    <col min="5" max="5" width="20.1796875" style="151" customWidth="1"/>
    <col min="6" max="6" width="21.453125" style="151" customWidth="1"/>
    <col min="7" max="7" width="12.81640625" style="151" customWidth="1"/>
    <col min="8" max="8" width="16.26953125" style="151" customWidth="1"/>
    <col min="9" max="9" width="13.54296875" style="242" customWidth="1"/>
    <col min="10" max="10" width="26.1796875" style="241" customWidth="1"/>
    <col min="11" max="16384" width="11.453125" style="150"/>
  </cols>
  <sheetData>
    <row r="1" spans="1:10" ht="105.4" customHeight="1" thickBot="1" x14ac:dyDescent="0.3">
      <c r="A1" s="531"/>
      <c r="B1" s="532"/>
      <c r="C1" s="532"/>
      <c r="D1" s="437" t="s">
        <v>240</v>
      </c>
      <c r="E1" s="437"/>
      <c r="F1" s="437"/>
      <c r="G1" s="437"/>
      <c r="H1" s="437"/>
      <c r="I1" s="437"/>
      <c r="J1" s="437"/>
    </row>
    <row r="2" spans="1:10" s="232" customFormat="1" ht="43.15" customHeight="1" thickBot="1" x14ac:dyDescent="0.35">
      <c r="A2" s="540" t="s">
        <v>228</v>
      </c>
      <c r="B2" s="541"/>
      <c r="C2" s="541"/>
      <c r="D2" s="541"/>
      <c r="E2" s="541"/>
      <c r="F2" s="541"/>
      <c r="G2" s="541"/>
      <c r="H2" s="541"/>
      <c r="I2" s="541"/>
      <c r="J2" s="541"/>
    </row>
    <row r="3" spans="1:10" ht="18.75" customHeight="1" x14ac:dyDescent="0.25">
      <c r="A3" s="542" t="s">
        <v>8</v>
      </c>
      <c r="B3" s="543"/>
      <c r="C3" s="543"/>
      <c r="D3" s="543"/>
      <c r="E3" s="543"/>
      <c r="F3" s="543"/>
      <c r="G3" s="543"/>
      <c r="H3" s="543"/>
      <c r="I3" s="543"/>
      <c r="J3" s="544"/>
    </row>
    <row r="4" spans="1:10" ht="12.75" customHeight="1" x14ac:dyDescent="0.25">
      <c r="A4" s="444" t="s">
        <v>52</v>
      </c>
      <c r="B4" s="445"/>
      <c r="C4" s="445"/>
      <c r="D4" s="445"/>
      <c r="E4" s="445"/>
      <c r="F4" s="445"/>
      <c r="G4" s="445"/>
      <c r="H4" s="539"/>
      <c r="J4" s="301"/>
    </row>
    <row r="5" spans="1:10" x14ac:dyDescent="0.25">
      <c r="A5" s="233"/>
      <c r="H5" s="171"/>
      <c r="J5" s="301"/>
    </row>
    <row r="6" spans="1:10" ht="12.75" customHeight="1" thickBot="1" x14ac:dyDescent="0.3">
      <c r="A6" s="527" t="s">
        <v>5</v>
      </c>
      <c r="B6" s="534" t="s">
        <v>173</v>
      </c>
      <c r="C6" s="538" t="s">
        <v>0</v>
      </c>
      <c r="D6" s="534" t="s">
        <v>175</v>
      </c>
      <c r="E6" s="538" t="s">
        <v>1</v>
      </c>
      <c r="F6" s="525" t="s">
        <v>33</v>
      </c>
      <c r="G6" s="526"/>
      <c r="H6" s="554"/>
      <c r="J6" s="301"/>
    </row>
    <row r="7" spans="1:10" ht="25" x14ac:dyDescent="0.25">
      <c r="A7" s="527"/>
      <c r="B7" s="535"/>
      <c r="C7" s="538"/>
      <c r="D7" s="535"/>
      <c r="E7" s="538"/>
      <c r="F7" s="154" t="s">
        <v>27</v>
      </c>
      <c r="G7" s="154" t="s">
        <v>14</v>
      </c>
      <c r="H7" s="247" t="s">
        <v>17</v>
      </c>
      <c r="I7" s="263" t="s">
        <v>231</v>
      </c>
      <c r="J7" s="264" t="s">
        <v>230</v>
      </c>
    </row>
    <row r="8" spans="1:10" x14ac:dyDescent="0.25">
      <c r="A8" s="233"/>
      <c r="G8" s="248"/>
      <c r="H8" s="248"/>
      <c r="I8" s="297"/>
      <c r="J8" s="301"/>
    </row>
    <row r="9" spans="1:10" ht="12.75" customHeight="1" x14ac:dyDescent="0.25">
      <c r="A9" s="467">
        <v>1</v>
      </c>
      <c r="B9" s="472" t="s">
        <v>204</v>
      </c>
      <c r="C9" s="468" t="s">
        <v>54</v>
      </c>
      <c r="D9" s="469" t="s">
        <v>174</v>
      </c>
      <c r="E9" s="469" t="s">
        <v>30</v>
      </c>
      <c r="F9" s="154" t="s">
        <v>24</v>
      </c>
      <c r="G9" s="182" t="s">
        <v>91</v>
      </c>
      <c r="H9" s="231">
        <f>'BPU LOT 1'!H9</f>
        <v>24</v>
      </c>
      <c r="I9" s="270">
        <v>60</v>
      </c>
      <c r="J9" s="273">
        <f>I9*H9</f>
        <v>1440</v>
      </c>
    </row>
    <row r="10" spans="1:10" x14ac:dyDescent="0.25">
      <c r="A10" s="467"/>
      <c r="B10" s="473"/>
      <c r="C10" s="468"/>
      <c r="D10" s="470"/>
      <c r="E10" s="470"/>
      <c r="F10" s="154" t="s">
        <v>25</v>
      </c>
      <c r="G10" s="182" t="s">
        <v>87</v>
      </c>
      <c r="H10" s="231">
        <f>'BPU LOT 1'!H10</f>
        <v>25</v>
      </c>
      <c r="I10" s="270">
        <v>100</v>
      </c>
      <c r="J10" s="273">
        <f t="shared" ref="J10:J13" si="0">I10*H10</f>
        <v>2500</v>
      </c>
    </row>
    <row r="11" spans="1:10" x14ac:dyDescent="0.25">
      <c r="A11" s="467"/>
      <c r="B11" s="473"/>
      <c r="C11" s="468"/>
      <c r="D11" s="470"/>
      <c r="E11" s="470"/>
      <c r="F11" s="154" t="s">
        <v>26</v>
      </c>
      <c r="G11" s="182" t="s">
        <v>88</v>
      </c>
      <c r="H11" s="231">
        <f>'BPU LOT 1'!H11</f>
        <v>26</v>
      </c>
      <c r="I11" s="270">
        <v>160</v>
      </c>
      <c r="J11" s="273">
        <f t="shared" si="0"/>
        <v>4160</v>
      </c>
    </row>
    <row r="12" spans="1:10" x14ac:dyDescent="0.25">
      <c r="A12" s="467"/>
      <c r="B12" s="473"/>
      <c r="C12" s="468"/>
      <c r="D12" s="470"/>
      <c r="E12" s="470"/>
      <c r="F12" s="154" t="s">
        <v>28</v>
      </c>
      <c r="G12" s="182" t="s">
        <v>89</v>
      </c>
      <c r="H12" s="231">
        <f>'BPU LOT 1'!H12</f>
        <v>27</v>
      </c>
      <c r="I12" s="270">
        <v>200</v>
      </c>
      <c r="J12" s="273">
        <f t="shared" si="0"/>
        <v>5400</v>
      </c>
    </row>
    <row r="13" spans="1:10" ht="26.65" customHeight="1" x14ac:dyDescent="0.25">
      <c r="A13" s="467"/>
      <c r="B13" s="474"/>
      <c r="C13" s="468"/>
      <c r="D13" s="471"/>
      <c r="E13" s="471"/>
      <c r="F13" s="154" t="s">
        <v>29</v>
      </c>
      <c r="G13" s="182" t="s">
        <v>90</v>
      </c>
      <c r="H13" s="231">
        <f>'BPU LOT 1'!H13</f>
        <v>28</v>
      </c>
      <c r="I13" s="270">
        <v>150</v>
      </c>
      <c r="J13" s="273">
        <f t="shared" si="0"/>
        <v>4200</v>
      </c>
    </row>
    <row r="14" spans="1:10" x14ac:dyDescent="0.25">
      <c r="A14" s="233"/>
      <c r="G14" s="248"/>
      <c r="H14" s="248"/>
      <c r="I14" s="297"/>
      <c r="J14" s="301"/>
    </row>
    <row r="15" spans="1:10" ht="12.75" customHeight="1" x14ac:dyDescent="0.25">
      <c r="A15" s="444" t="s">
        <v>51</v>
      </c>
      <c r="B15" s="445"/>
      <c r="C15" s="445"/>
      <c r="D15" s="445"/>
      <c r="E15" s="445"/>
      <c r="F15" s="445"/>
      <c r="G15" s="445"/>
      <c r="H15" s="445"/>
      <c r="I15" s="297"/>
      <c r="J15" s="301"/>
    </row>
    <row r="16" spans="1:10" x14ac:dyDescent="0.25">
      <c r="A16" s="239"/>
      <c r="B16" s="199"/>
      <c r="C16" s="230"/>
      <c r="D16" s="230"/>
      <c r="E16" s="198"/>
      <c r="F16" s="198"/>
      <c r="G16" s="198"/>
      <c r="H16" s="198"/>
      <c r="I16" s="297"/>
      <c r="J16" s="301"/>
    </row>
    <row r="17" spans="1:10" ht="27" customHeight="1" x14ac:dyDescent="0.25">
      <c r="A17" s="527" t="s">
        <v>5</v>
      </c>
      <c r="B17" s="534" t="s">
        <v>173</v>
      </c>
      <c r="C17" s="538" t="s">
        <v>0</v>
      </c>
      <c r="D17" s="534" t="s">
        <v>222</v>
      </c>
      <c r="E17" s="538" t="s">
        <v>1</v>
      </c>
      <c r="F17" s="525" t="s">
        <v>45</v>
      </c>
      <c r="G17" s="526"/>
      <c r="H17" s="526"/>
      <c r="I17" s="297"/>
      <c r="J17" s="301"/>
    </row>
    <row r="18" spans="1:10" ht="25" x14ac:dyDescent="0.25">
      <c r="A18" s="527"/>
      <c r="B18" s="535"/>
      <c r="C18" s="538"/>
      <c r="D18" s="535"/>
      <c r="E18" s="538"/>
      <c r="F18" s="154" t="s">
        <v>15</v>
      </c>
      <c r="G18" s="154" t="s">
        <v>14</v>
      </c>
      <c r="H18" s="247" t="s">
        <v>17</v>
      </c>
      <c r="I18" s="266" t="s">
        <v>231</v>
      </c>
      <c r="J18" s="229" t="s">
        <v>230</v>
      </c>
    </row>
    <row r="19" spans="1:10" ht="13.5" customHeight="1" x14ac:dyDescent="0.25">
      <c r="A19" s="238"/>
      <c r="B19" s="202"/>
      <c r="C19" s="202"/>
      <c r="D19" s="202"/>
      <c r="E19" s="202"/>
      <c r="F19" s="197"/>
      <c r="G19" s="197"/>
      <c r="H19" s="197"/>
      <c r="I19" s="297"/>
      <c r="J19" s="301"/>
    </row>
    <row r="20" spans="1:10" ht="27" customHeight="1" x14ac:dyDescent="0.25">
      <c r="A20" s="467">
        <v>2</v>
      </c>
      <c r="B20" s="472" t="s">
        <v>204</v>
      </c>
      <c r="C20" s="468" t="s">
        <v>211</v>
      </c>
      <c r="D20" s="469" t="s">
        <v>212</v>
      </c>
      <c r="E20" s="468" t="s">
        <v>213</v>
      </c>
      <c r="F20" s="154" t="s">
        <v>44</v>
      </c>
      <c r="G20" s="182" t="s">
        <v>92</v>
      </c>
      <c r="H20" s="203">
        <f>'BPU LOT 1'!H20</f>
        <v>68</v>
      </c>
      <c r="I20" s="270">
        <v>5</v>
      </c>
      <c r="J20" s="273">
        <f>I20*H20</f>
        <v>340</v>
      </c>
    </row>
    <row r="21" spans="1:10" ht="27" customHeight="1" x14ac:dyDescent="0.25">
      <c r="A21" s="467"/>
      <c r="B21" s="473"/>
      <c r="C21" s="468"/>
      <c r="D21" s="470"/>
      <c r="E21" s="468"/>
      <c r="F21" s="154" t="s">
        <v>67</v>
      </c>
      <c r="G21" s="182" t="s">
        <v>93</v>
      </c>
      <c r="H21" s="203">
        <f>'BPU LOT 1'!H21</f>
        <v>98</v>
      </c>
      <c r="I21" s="270">
        <v>25</v>
      </c>
      <c r="J21" s="273">
        <f t="shared" ref="J21:J24" si="1">I21*H21</f>
        <v>2450</v>
      </c>
    </row>
    <row r="22" spans="1:10" ht="27" customHeight="1" x14ac:dyDescent="0.25">
      <c r="A22" s="467"/>
      <c r="B22" s="473"/>
      <c r="C22" s="468"/>
      <c r="D22" s="470"/>
      <c r="E22" s="468"/>
      <c r="F22" s="154" t="s">
        <v>68</v>
      </c>
      <c r="G22" s="182" t="s">
        <v>94</v>
      </c>
      <c r="H22" s="203">
        <f>'BPU LOT 1'!H22</f>
        <v>138</v>
      </c>
      <c r="I22" s="270">
        <v>10</v>
      </c>
      <c r="J22" s="273">
        <f t="shared" si="1"/>
        <v>1380</v>
      </c>
    </row>
    <row r="23" spans="1:10" ht="27" customHeight="1" x14ac:dyDescent="0.25">
      <c r="A23" s="467"/>
      <c r="B23" s="473"/>
      <c r="C23" s="468"/>
      <c r="D23" s="470"/>
      <c r="E23" s="468"/>
      <c r="F23" s="154" t="s">
        <v>69</v>
      </c>
      <c r="G23" s="182" t="s">
        <v>95</v>
      </c>
      <c r="H23" s="203">
        <f>'BPU LOT 1'!H23</f>
        <v>188</v>
      </c>
      <c r="I23" s="270">
        <v>10</v>
      </c>
      <c r="J23" s="273">
        <f t="shared" si="1"/>
        <v>1880</v>
      </c>
    </row>
    <row r="24" spans="1:10" ht="27" customHeight="1" x14ac:dyDescent="0.25">
      <c r="A24" s="467"/>
      <c r="B24" s="474"/>
      <c r="C24" s="468"/>
      <c r="D24" s="471"/>
      <c r="E24" s="468"/>
      <c r="F24" s="154" t="s">
        <v>43</v>
      </c>
      <c r="G24" s="182" t="s">
        <v>96</v>
      </c>
      <c r="H24" s="203">
        <f>'BPU LOT 1'!H24</f>
        <v>98</v>
      </c>
      <c r="I24" s="270">
        <v>5</v>
      </c>
      <c r="J24" s="273">
        <f t="shared" si="1"/>
        <v>490</v>
      </c>
    </row>
    <row r="25" spans="1:10" ht="16.149999999999999" customHeight="1" x14ac:dyDescent="0.25">
      <c r="A25" s="536" t="s">
        <v>193</v>
      </c>
      <c r="B25" s="537"/>
      <c r="C25" s="537"/>
      <c r="D25" s="537"/>
      <c r="E25" s="537"/>
      <c r="F25" s="537"/>
      <c r="G25" s="537"/>
      <c r="I25" s="297"/>
      <c r="J25" s="301"/>
    </row>
    <row r="26" spans="1:10" ht="12.75" customHeight="1" x14ac:dyDescent="0.25">
      <c r="A26" s="527" t="s">
        <v>5</v>
      </c>
      <c r="B26" s="534" t="s">
        <v>173</v>
      </c>
      <c r="C26" s="538" t="s">
        <v>0</v>
      </c>
      <c r="D26" s="534" t="s">
        <v>175</v>
      </c>
      <c r="E26" s="538" t="s">
        <v>1</v>
      </c>
      <c r="F26" s="525" t="s">
        <v>50</v>
      </c>
      <c r="G26" s="526"/>
      <c r="H26" s="526"/>
      <c r="I26" s="297"/>
      <c r="J26" s="301"/>
    </row>
    <row r="27" spans="1:10" ht="25" x14ac:dyDescent="0.25">
      <c r="A27" s="527"/>
      <c r="B27" s="535"/>
      <c r="C27" s="538"/>
      <c r="D27" s="535"/>
      <c r="E27" s="538"/>
      <c r="F27" s="154" t="s">
        <v>48</v>
      </c>
      <c r="G27" s="154" t="s">
        <v>14</v>
      </c>
      <c r="H27" s="247" t="s">
        <v>17</v>
      </c>
      <c r="I27" s="266" t="s">
        <v>231</v>
      </c>
      <c r="J27" s="229" t="s">
        <v>230</v>
      </c>
    </row>
    <row r="28" spans="1:10" x14ac:dyDescent="0.25">
      <c r="A28" s="238"/>
      <c r="B28" s="202"/>
      <c r="C28" s="202"/>
      <c r="D28" s="202"/>
      <c r="E28" s="202"/>
      <c r="F28" s="197"/>
      <c r="G28" s="197"/>
      <c r="H28" s="197"/>
      <c r="I28" s="297"/>
      <c r="J28" s="301"/>
    </row>
    <row r="29" spans="1:10" ht="12.75" customHeight="1" x14ac:dyDescent="0.25">
      <c r="A29" s="467">
        <v>3</v>
      </c>
      <c r="B29" s="472" t="s">
        <v>204</v>
      </c>
      <c r="C29" s="468" t="s">
        <v>55</v>
      </c>
      <c r="D29" s="469" t="s">
        <v>174</v>
      </c>
      <c r="E29" s="469" t="s">
        <v>22</v>
      </c>
      <c r="F29" s="154" t="s">
        <v>46</v>
      </c>
      <c r="G29" s="182" t="s">
        <v>97</v>
      </c>
      <c r="H29" s="231">
        <f>'BPU LOT 1'!H29</f>
        <v>98</v>
      </c>
      <c r="I29" s="270">
        <v>10</v>
      </c>
      <c r="J29" s="273">
        <f>I29*H29</f>
        <v>980</v>
      </c>
    </row>
    <row r="30" spans="1:10" ht="12.75" customHeight="1" x14ac:dyDescent="0.25">
      <c r="A30" s="467"/>
      <c r="B30" s="473"/>
      <c r="C30" s="468"/>
      <c r="D30" s="470"/>
      <c r="E30" s="470"/>
      <c r="F30" s="154" t="s">
        <v>47</v>
      </c>
      <c r="G30" s="182" t="s">
        <v>99</v>
      </c>
      <c r="H30" s="231">
        <f>'BPU LOT 1'!H30</f>
        <v>148</v>
      </c>
      <c r="I30" s="270">
        <v>5</v>
      </c>
      <c r="J30" s="273">
        <f t="shared" ref="J30:J31" si="2">I30*H30</f>
        <v>740</v>
      </c>
    </row>
    <row r="31" spans="1:10" x14ac:dyDescent="0.25">
      <c r="A31" s="467"/>
      <c r="B31" s="474"/>
      <c r="C31" s="468"/>
      <c r="D31" s="471"/>
      <c r="E31" s="471"/>
      <c r="F31" s="154" t="s">
        <v>49</v>
      </c>
      <c r="G31" s="182" t="s">
        <v>98</v>
      </c>
      <c r="H31" s="231">
        <f>'BPU LOT 1'!H31</f>
        <v>188</v>
      </c>
      <c r="I31" s="270">
        <v>5</v>
      </c>
      <c r="J31" s="273">
        <f t="shared" si="2"/>
        <v>940</v>
      </c>
    </row>
    <row r="32" spans="1:10" x14ac:dyDescent="0.25">
      <c r="A32" s="233"/>
      <c r="I32" s="297"/>
      <c r="J32" s="301"/>
    </row>
    <row r="33" spans="1:10" ht="12.75" customHeight="1" x14ac:dyDescent="0.25">
      <c r="A33" s="527" t="s">
        <v>5</v>
      </c>
      <c r="B33" s="534" t="s">
        <v>173</v>
      </c>
      <c r="C33" s="538" t="s">
        <v>0</v>
      </c>
      <c r="D33" s="534" t="s">
        <v>175</v>
      </c>
      <c r="E33" s="538" t="s">
        <v>1</v>
      </c>
      <c r="F33" s="525" t="s">
        <v>31</v>
      </c>
      <c r="G33" s="526"/>
      <c r="H33" s="526"/>
      <c r="I33" s="297"/>
      <c r="J33" s="301"/>
    </row>
    <row r="34" spans="1:10" ht="25" x14ac:dyDescent="0.25">
      <c r="A34" s="527"/>
      <c r="B34" s="535"/>
      <c r="C34" s="538"/>
      <c r="D34" s="535"/>
      <c r="E34" s="538"/>
      <c r="F34" s="154" t="s">
        <v>32</v>
      </c>
      <c r="G34" s="154" t="s">
        <v>14</v>
      </c>
      <c r="H34" s="247" t="s">
        <v>17</v>
      </c>
      <c r="I34" s="266" t="s">
        <v>231</v>
      </c>
      <c r="J34" s="229" t="s">
        <v>230</v>
      </c>
    </row>
    <row r="35" spans="1:10" x14ac:dyDescent="0.25">
      <c r="A35" s="238"/>
      <c r="B35" s="202"/>
      <c r="C35" s="202"/>
      <c r="D35" s="202" t="s">
        <v>78</v>
      </c>
      <c r="E35" s="202"/>
      <c r="F35" s="197"/>
      <c r="G35" s="197"/>
      <c r="H35" s="197"/>
      <c r="I35" s="297"/>
      <c r="J35" s="301"/>
    </row>
    <row r="36" spans="1:10" ht="12.75" customHeight="1" x14ac:dyDescent="0.25">
      <c r="A36" s="467">
        <v>4</v>
      </c>
      <c r="B36" s="472" t="s">
        <v>204</v>
      </c>
      <c r="C36" s="468" t="s">
        <v>170</v>
      </c>
      <c r="D36" s="469" t="s">
        <v>174</v>
      </c>
      <c r="E36" s="469" t="s">
        <v>23</v>
      </c>
      <c r="F36" s="154" t="s">
        <v>20</v>
      </c>
      <c r="G36" s="182" t="s">
        <v>100</v>
      </c>
      <c r="H36" s="231">
        <f>'BPU LOT 1'!H36</f>
        <v>58</v>
      </c>
      <c r="I36" s="270">
        <v>5</v>
      </c>
      <c r="J36" s="273">
        <f>I36*H36</f>
        <v>290</v>
      </c>
    </row>
    <row r="37" spans="1:10" ht="12.75" customHeight="1" x14ac:dyDescent="0.25">
      <c r="A37" s="467"/>
      <c r="B37" s="473"/>
      <c r="C37" s="468"/>
      <c r="D37" s="470"/>
      <c r="E37" s="470"/>
      <c r="F37" s="154" t="s">
        <v>62</v>
      </c>
      <c r="G37" s="182" t="s">
        <v>101</v>
      </c>
      <c r="H37" s="231">
        <f>'BPU LOT 1'!H37</f>
        <v>68</v>
      </c>
      <c r="I37" s="270">
        <v>5</v>
      </c>
      <c r="J37" s="273">
        <f t="shared" ref="J37:J40" si="3">I37*H37</f>
        <v>340</v>
      </c>
    </row>
    <row r="38" spans="1:10" x14ac:dyDescent="0.25">
      <c r="A38" s="467"/>
      <c r="B38" s="473"/>
      <c r="C38" s="468"/>
      <c r="D38" s="470"/>
      <c r="E38" s="470"/>
      <c r="F38" s="154" t="s">
        <v>63</v>
      </c>
      <c r="G38" s="182" t="s">
        <v>102</v>
      </c>
      <c r="H38" s="231">
        <f>'BPU LOT 1'!H38</f>
        <v>88</v>
      </c>
      <c r="I38" s="270">
        <v>10</v>
      </c>
      <c r="J38" s="273">
        <f>I38*H38</f>
        <v>880</v>
      </c>
    </row>
    <row r="39" spans="1:10" ht="12.75" customHeight="1" x14ac:dyDescent="0.25">
      <c r="A39" s="467"/>
      <c r="B39" s="473"/>
      <c r="C39" s="468"/>
      <c r="D39" s="470"/>
      <c r="E39" s="470"/>
      <c r="F39" s="154" t="s">
        <v>64</v>
      </c>
      <c r="G39" s="182" t="s">
        <v>103</v>
      </c>
      <c r="H39" s="231">
        <f>'BPU LOT 1'!H39</f>
        <v>148</v>
      </c>
      <c r="I39" s="270">
        <v>4</v>
      </c>
      <c r="J39" s="273">
        <f>I39*H39</f>
        <v>592</v>
      </c>
    </row>
    <row r="40" spans="1:10" ht="12.75" customHeight="1" x14ac:dyDescent="0.25">
      <c r="A40" s="467"/>
      <c r="B40" s="474"/>
      <c r="C40" s="468"/>
      <c r="D40" s="471"/>
      <c r="E40" s="471"/>
      <c r="F40" s="154" t="s">
        <v>65</v>
      </c>
      <c r="G40" s="182" t="s">
        <v>104</v>
      </c>
      <c r="H40" s="231">
        <f>'BPU LOT 1'!H40</f>
        <v>200</v>
      </c>
      <c r="I40" s="270">
        <v>5</v>
      </c>
      <c r="J40" s="273">
        <f t="shared" si="3"/>
        <v>1000</v>
      </c>
    </row>
    <row r="41" spans="1:10" x14ac:dyDescent="0.25">
      <c r="A41" s="238"/>
      <c r="B41" s="202"/>
      <c r="C41" s="228"/>
      <c r="D41" s="181"/>
      <c r="G41" s="281"/>
      <c r="H41" s="231"/>
      <c r="I41" s="297"/>
      <c r="J41" s="301"/>
    </row>
    <row r="42" spans="1:10" x14ac:dyDescent="0.25">
      <c r="A42" s="282"/>
      <c r="B42" s="227"/>
      <c r="C42" s="221"/>
      <c r="D42" s="221"/>
      <c r="E42" s="221"/>
      <c r="F42" s="221"/>
      <c r="G42" s="221"/>
      <c r="H42" s="221"/>
      <c r="I42" s="297"/>
      <c r="J42" s="301"/>
    </row>
    <row r="43" spans="1:10" ht="9.75" customHeight="1" x14ac:dyDescent="0.25">
      <c r="A43" s="237"/>
      <c r="B43" s="226"/>
      <c r="C43" s="249"/>
      <c r="D43" s="249"/>
      <c r="E43" s="249"/>
      <c r="F43" s="249"/>
      <c r="G43" s="249"/>
      <c r="H43" s="249"/>
      <c r="I43" s="297"/>
      <c r="J43" s="301"/>
    </row>
    <row r="44" spans="1:10" ht="12.75" customHeight="1" x14ac:dyDescent="0.25">
      <c r="A44" s="528" t="s">
        <v>2</v>
      </c>
      <c r="B44" s="529"/>
      <c r="C44" s="529"/>
      <c r="D44" s="529"/>
      <c r="E44" s="529"/>
      <c r="F44" s="529"/>
      <c r="G44" s="529"/>
      <c r="H44" s="529"/>
      <c r="I44" s="297"/>
      <c r="J44" s="301"/>
    </row>
    <row r="45" spans="1:10" ht="12.75" customHeight="1" x14ac:dyDescent="0.25">
      <c r="A45" s="233"/>
      <c r="I45" s="297"/>
      <c r="J45" s="301"/>
    </row>
    <row r="46" spans="1:10" x14ac:dyDescent="0.25">
      <c r="A46" s="444" t="s">
        <v>39</v>
      </c>
      <c r="B46" s="445"/>
      <c r="C46" s="445"/>
      <c r="D46" s="445"/>
      <c r="E46" s="445"/>
      <c r="F46" s="445"/>
      <c r="G46" s="445"/>
      <c r="H46" s="445"/>
      <c r="I46" s="297"/>
      <c r="J46" s="301"/>
    </row>
    <row r="47" spans="1:10" x14ac:dyDescent="0.25">
      <c r="A47" s="233"/>
      <c r="I47" s="297"/>
      <c r="J47" s="301"/>
    </row>
    <row r="48" spans="1:10" ht="29.25" customHeight="1" x14ac:dyDescent="0.25">
      <c r="A48" s="283" t="s">
        <v>5</v>
      </c>
      <c r="B48" s="220" t="s">
        <v>206</v>
      </c>
      <c r="C48" s="220" t="s">
        <v>0</v>
      </c>
      <c r="D48" s="225" t="s">
        <v>175</v>
      </c>
      <c r="E48" s="521" t="s">
        <v>1</v>
      </c>
      <c r="F48" s="530"/>
      <c r="G48" s="220" t="s">
        <v>14</v>
      </c>
      <c r="H48" s="225" t="s">
        <v>17</v>
      </c>
      <c r="I48" s="267" t="s">
        <v>231</v>
      </c>
      <c r="J48" s="268" t="s">
        <v>230</v>
      </c>
    </row>
    <row r="49" spans="1:10" x14ac:dyDescent="0.25">
      <c r="A49" s="238"/>
      <c r="B49" s="202"/>
      <c r="C49" s="197"/>
      <c r="D49" s="197"/>
      <c r="E49" s="197"/>
      <c r="F49" s="197"/>
      <c r="G49" s="197"/>
      <c r="H49" s="197"/>
      <c r="I49" s="297"/>
      <c r="J49" s="301"/>
    </row>
    <row r="50" spans="1:10" ht="21.75" customHeight="1" x14ac:dyDescent="0.25">
      <c r="A50" s="284"/>
      <c r="B50" s="260"/>
      <c r="C50" s="258"/>
      <c r="D50" s="258"/>
      <c r="H50" s="181"/>
      <c r="I50" s="297"/>
      <c r="J50" s="302"/>
    </row>
    <row r="51" spans="1:10" ht="63" customHeight="1" x14ac:dyDescent="0.25">
      <c r="A51" s="240">
        <v>12</v>
      </c>
      <c r="B51" s="179" t="s">
        <v>205</v>
      </c>
      <c r="C51" s="178" t="s">
        <v>56</v>
      </c>
      <c r="D51" s="188" t="s">
        <v>176</v>
      </c>
      <c r="E51" s="485" t="s">
        <v>6</v>
      </c>
      <c r="F51" s="486"/>
      <c r="G51" s="182" t="s">
        <v>109</v>
      </c>
      <c r="H51" s="203">
        <f>'BPU LOT 1'!H51</f>
        <v>17</v>
      </c>
      <c r="I51" s="270">
        <v>100</v>
      </c>
      <c r="J51" s="273">
        <f t="shared" ref="J51" si="4">I51*H51</f>
        <v>1700</v>
      </c>
    </row>
    <row r="52" spans="1:10" ht="12.75" customHeight="1" x14ac:dyDescent="0.25">
      <c r="A52" s="285"/>
      <c r="B52" s="191"/>
      <c r="C52" s="191"/>
      <c r="D52" s="191"/>
      <c r="E52" s="191"/>
      <c r="F52" s="191"/>
      <c r="G52" s="191"/>
      <c r="H52" s="191"/>
      <c r="I52" s="270"/>
      <c r="J52" s="273"/>
    </row>
    <row r="53" spans="1:10" ht="63" customHeight="1" x14ac:dyDescent="0.25">
      <c r="A53" s="236" t="s">
        <v>185</v>
      </c>
      <c r="B53" s="153" t="s">
        <v>207</v>
      </c>
      <c r="C53" s="155" t="s">
        <v>200</v>
      </c>
      <c r="D53" s="211" t="s">
        <v>201</v>
      </c>
      <c r="E53" s="458" t="s">
        <v>6</v>
      </c>
      <c r="F53" s="459"/>
      <c r="G53" s="182" t="s">
        <v>185</v>
      </c>
      <c r="H53" s="203">
        <f>'BPU LOT 1'!H53</f>
        <v>11</v>
      </c>
      <c r="I53" s="270">
        <v>100</v>
      </c>
      <c r="J53" s="273">
        <f t="shared" ref="J53" si="5">I53*H53</f>
        <v>1100</v>
      </c>
    </row>
    <row r="54" spans="1:10" ht="12.75" customHeight="1" x14ac:dyDescent="0.25">
      <c r="A54" s="285"/>
      <c r="B54" s="191"/>
      <c r="C54" s="191"/>
      <c r="D54" s="191"/>
      <c r="E54" s="191"/>
      <c r="F54" s="191"/>
      <c r="G54" s="191"/>
      <c r="H54" s="191"/>
      <c r="I54" s="270"/>
      <c r="J54" s="273"/>
    </row>
    <row r="55" spans="1:10" ht="63" customHeight="1" x14ac:dyDescent="0.25">
      <c r="A55" s="236" t="s">
        <v>185</v>
      </c>
      <c r="B55" s="153" t="s">
        <v>207</v>
      </c>
      <c r="C55" s="155" t="s">
        <v>202</v>
      </c>
      <c r="D55" s="211" t="s">
        <v>203</v>
      </c>
      <c r="E55" s="458" t="s">
        <v>6</v>
      </c>
      <c r="F55" s="459"/>
      <c r="G55" s="182" t="s">
        <v>185</v>
      </c>
      <c r="H55" s="203">
        <f>'BPU LOT 1'!H55</f>
        <v>10</v>
      </c>
      <c r="I55" s="270">
        <v>50</v>
      </c>
      <c r="J55" s="273">
        <f t="shared" ref="J55" si="6">I55*H55</f>
        <v>500</v>
      </c>
    </row>
    <row r="56" spans="1:10" ht="12.75" customHeight="1" x14ac:dyDescent="0.25">
      <c r="A56" s="285"/>
      <c r="B56" s="191"/>
      <c r="C56" s="191"/>
      <c r="D56" s="191"/>
      <c r="E56" s="191"/>
      <c r="F56" s="191"/>
      <c r="G56" s="191"/>
      <c r="H56" s="191"/>
      <c r="I56" s="270"/>
      <c r="J56" s="273"/>
    </row>
    <row r="57" spans="1:10" ht="41.25" customHeight="1" x14ac:dyDescent="0.25">
      <c r="A57" s="240">
        <v>13</v>
      </c>
      <c r="B57" s="179" t="s">
        <v>205</v>
      </c>
      <c r="C57" s="178" t="s">
        <v>177</v>
      </c>
      <c r="D57" s="188" t="s">
        <v>176</v>
      </c>
      <c r="E57" s="468" t="s">
        <v>53</v>
      </c>
      <c r="F57" s="468"/>
      <c r="G57" s="182" t="s">
        <v>110</v>
      </c>
      <c r="H57" s="203">
        <f>'BPU LOT 1'!H57</f>
        <v>8</v>
      </c>
      <c r="I57" s="270">
        <v>100</v>
      </c>
      <c r="J57" s="273">
        <f t="shared" ref="J57" si="7">I57*H57</f>
        <v>800</v>
      </c>
    </row>
    <row r="58" spans="1:10" ht="27" customHeight="1" x14ac:dyDescent="0.25">
      <c r="A58" s="238"/>
      <c r="B58" s="202"/>
      <c r="C58" s="197"/>
      <c r="D58" s="197"/>
      <c r="E58" s="197"/>
      <c r="F58" s="197"/>
      <c r="G58" s="197"/>
      <c r="H58" s="197"/>
      <c r="I58" s="270"/>
      <c r="J58" s="273"/>
    </row>
    <row r="59" spans="1:10" s="218" customFormat="1" ht="25" x14ac:dyDescent="0.3">
      <c r="A59" s="240">
        <v>14</v>
      </c>
      <c r="B59" s="179" t="s">
        <v>208</v>
      </c>
      <c r="C59" s="178" t="s">
        <v>38</v>
      </c>
      <c r="D59" s="224" t="s">
        <v>186</v>
      </c>
      <c r="E59" s="485" t="s">
        <v>6</v>
      </c>
      <c r="F59" s="486"/>
      <c r="G59" s="182" t="s">
        <v>111</v>
      </c>
      <c r="H59" s="203">
        <f>'BPU LOT 1'!H59</f>
        <v>28</v>
      </c>
      <c r="I59" s="270">
        <v>15</v>
      </c>
      <c r="J59" s="273">
        <f t="shared" ref="J59" si="8">I59*H59</f>
        <v>420</v>
      </c>
    </row>
    <row r="60" spans="1:10" ht="27" customHeight="1" x14ac:dyDescent="0.25">
      <c r="A60" s="238"/>
      <c r="B60" s="202"/>
      <c r="C60" s="197"/>
      <c r="D60" s="197"/>
      <c r="E60" s="197"/>
      <c r="F60" s="197"/>
      <c r="G60" s="197"/>
      <c r="H60" s="197"/>
      <c r="I60" s="297"/>
      <c r="J60" s="301"/>
    </row>
    <row r="61" spans="1:10" ht="75" x14ac:dyDescent="0.25">
      <c r="A61" s="282">
        <v>11</v>
      </c>
      <c r="B61" s="180" t="s">
        <v>209</v>
      </c>
      <c r="C61" s="178" t="s">
        <v>191</v>
      </c>
      <c r="D61" s="223" t="s">
        <v>198</v>
      </c>
      <c r="E61" s="485" t="s">
        <v>6</v>
      </c>
      <c r="F61" s="486"/>
      <c r="G61" s="182" t="s">
        <v>108</v>
      </c>
      <c r="H61" s="250">
        <f>'BPU LOT 1'!H61</f>
        <v>33</v>
      </c>
      <c r="I61" s="297"/>
      <c r="J61" s="301"/>
    </row>
    <row r="62" spans="1:10" s="218" customFormat="1" x14ac:dyDescent="0.3">
      <c r="A62" s="282"/>
      <c r="B62" s="222"/>
      <c r="C62" s="221"/>
      <c r="D62" s="221"/>
      <c r="E62" s="221"/>
      <c r="F62" s="221"/>
      <c r="G62" s="221"/>
      <c r="H62" s="221"/>
      <c r="I62" s="300"/>
      <c r="J62" s="303"/>
    </row>
    <row r="63" spans="1:10" ht="12.75" customHeight="1" x14ac:dyDescent="0.25">
      <c r="A63" s="444" t="s">
        <v>37</v>
      </c>
      <c r="B63" s="445"/>
      <c r="C63" s="445"/>
      <c r="D63" s="445"/>
      <c r="E63" s="445"/>
      <c r="F63" s="445"/>
      <c r="G63" s="445"/>
      <c r="H63" s="445"/>
      <c r="I63" s="297"/>
      <c r="J63" s="301"/>
    </row>
    <row r="64" spans="1:10" ht="15.75" customHeight="1" x14ac:dyDescent="0.25">
      <c r="A64" s="233"/>
      <c r="I64" s="297"/>
      <c r="J64" s="301"/>
    </row>
    <row r="65" spans="1:10" ht="27" customHeight="1" x14ac:dyDescent="0.25">
      <c r="A65" s="460" t="s">
        <v>5</v>
      </c>
      <c r="B65" s="518" t="s">
        <v>173</v>
      </c>
      <c r="C65" s="520" t="s">
        <v>0</v>
      </c>
      <c r="D65" s="518" t="s">
        <v>175</v>
      </c>
      <c r="E65" s="518" t="s">
        <v>1</v>
      </c>
      <c r="F65" s="520" t="s">
        <v>45</v>
      </c>
      <c r="G65" s="520"/>
      <c r="H65" s="521"/>
      <c r="I65" s="297"/>
      <c r="J65" s="301"/>
    </row>
    <row r="66" spans="1:10" ht="27" customHeight="1" x14ac:dyDescent="0.25">
      <c r="A66" s="460"/>
      <c r="B66" s="519"/>
      <c r="C66" s="520"/>
      <c r="D66" s="519"/>
      <c r="E66" s="519"/>
      <c r="F66" s="215" t="s">
        <v>15</v>
      </c>
      <c r="G66" s="215" t="s">
        <v>14</v>
      </c>
      <c r="H66" s="251" t="s">
        <v>17</v>
      </c>
      <c r="I66" s="267" t="s">
        <v>231</v>
      </c>
      <c r="J66" s="268" t="s">
        <v>230</v>
      </c>
    </row>
    <row r="67" spans="1:10" ht="13.5" customHeight="1" x14ac:dyDescent="0.25">
      <c r="A67" s="238"/>
      <c r="B67" s="202"/>
      <c r="C67" s="202"/>
      <c r="D67" s="199"/>
      <c r="E67" s="199"/>
      <c r="F67" s="197"/>
      <c r="G67" s="197"/>
      <c r="H67" s="197"/>
      <c r="I67" s="297"/>
      <c r="J67" s="301"/>
    </row>
    <row r="68" spans="1:10" ht="25" x14ac:dyDescent="0.25">
      <c r="A68" s="438" t="s">
        <v>185</v>
      </c>
      <c r="B68" s="440" t="s">
        <v>208</v>
      </c>
      <c r="C68" s="442" t="s">
        <v>220</v>
      </c>
      <c r="D68" s="452" t="s">
        <v>221</v>
      </c>
      <c r="E68" s="442" t="s">
        <v>169</v>
      </c>
      <c r="F68" s="215" t="s">
        <v>44</v>
      </c>
      <c r="G68" s="182" t="s">
        <v>185</v>
      </c>
      <c r="H68" s="203">
        <f>'BPU LOT 1'!H68</f>
        <v>78</v>
      </c>
      <c r="I68" s="270">
        <v>2</v>
      </c>
      <c r="J68" s="273">
        <f t="shared" ref="J68:J69" si="9">I68*H68</f>
        <v>156</v>
      </c>
    </row>
    <row r="69" spans="1:10" ht="39.75" customHeight="1" x14ac:dyDescent="0.25">
      <c r="A69" s="438"/>
      <c r="B69" s="523"/>
      <c r="C69" s="442"/>
      <c r="D69" s="453"/>
      <c r="E69" s="442"/>
      <c r="F69" s="215" t="s">
        <v>67</v>
      </c>
      <c r="G69" s="182" t="s">
        <v>185</v>
      </c>
      <c r="H69" s="203">
        <f>'BPU LOT 1'!H69</f>
        <v>98</v>
      </c>
      <c r="I69" s="270">
        <v>2</v>
      </c>
      <c r="J69" s="273">
        <f t="shared" si="9"/>
        <v>196</v>
      </c>
    </row>
    <row r="70" spans="1:10" ht="25" x14ac:dyDescent="0.25">
      <c r="A70" s="438"/>
      <c r="B70" s="523"/>
      <c r="C70" s="442"/>
      <c r="D70" s="453"/>
      <c r="E70" s="442"/>
      <c r="F70" s="215" t="s">
        <v>68</v>
      </c>
      <c r="G70" s="182" t="s">
        <v>185</v>
      </c>
      <c r="H70" s="203">
        <f>'BPU LOT 1'!H70</f>
        <v>148</v>
      </c>
      <c r="I70" s="270">
        <v>2</v>
      </c>
      <c r="J70" s="273">
        <f t="shared" ref="J70:J72" si="10">I70*H70</f>
        <v>296</v>
      </c>
    </row>
    <row r="71" spans="1:10" ht="25" x14ac:dyDescent="0.25">
      <c r="A71" s="438"/>
      <c r="B71" s="523"/>
      <c r="C71" s="442"/>
      <c r="D71" s="453"/>
      <c r="E71" s="442"/>
      <c r="F71" s="215" t="s">
        <v>69</v>
      </c>
      <c r="G71" s="182" t="s">
        <v>185</v>
      </c>
      <c r="H71" s="203">
        <f>'BPU LOT 1'!H71</f>
        <v>198</v>
      </c>
      <c r="I71" s="270">
        <v>2</v>
      </c>
      <c r="J71" s="273">
        <f t="shared" si="10"/>
        <v>396</v>
      </c>
    </row>
    <row r="72" spans="1:10" ht="27.75" customHeight="1" x14ac:dyDescent="0.25">
      <c r="A72" s="438"/>
      <c r="B72" s="524"/>
      <c r="C72" s="442"/>
      <c r="D72" s="454"/>
      <c r="E72" s="442"/>
      <c r="F72" s="215" t="s">
        <v>43</v>
      </c>
      <c r="G72" s="182" t="s">
        <v>185</v>
      </c>
      <c r="H72" s="203">
        <f>'BPU LOT 1'!H72</f>
        <v>98</v>
      </c>
      <c r="I72" s="270">
        <v>2</v>
      </c>
      <c r="J72" s="273">
        <f t="shared" si="10"/>
        <v>196</v>
      </c>
    </row>
    <row r="73" spans="1:10" x14ac:dyDescent="0.25">
      <c r="A73" s="233"/>
      <c r="C73" s="286"/>
      <c r="D73" s="286"/>
      <c r="F73" s="181"/>
      <c r="G73" s="191"/>
      <c r="I73" s="297"/>
      <c r="J73" s="301"/>
    </row>
    <row r="74" spans="1:10" ht="27" customHeight="1" x14ac:dyDescent="0.25">
      <c r="A74" s="460" t="s">
        <v>5</v>
      </c>
      <c r="B74" s="518"/>
      <c r="C74" s="520" t="s">
        <v>0</v>
      </c>
      <c r="D74" s="518" t="s">
        <v>175</v>
      </c>
      <c r="E74" s="518" t="s">
        <v>1</v>
      </c>
      <c r="F74" s="520" t="s">
        <v>45</v>
      </c>
      <c r="G74" s="520"/>
      <c r="H74" s="521"/>
      <c r="I74" s="297"/>
      <c r="J74" s="301"/>
    </row>
    <row r="75" spans="1:10" ht="27" customHeight="1" x14ac:dyDescent="0.25">
      <c r="A75" s="460"/>
      <c r="B75" s="519"/>
      <c r="C75" s="520"/>
      <c r="D75" s="519"/>
      <c r="E75" s="519"/>
      <c r="F75" s="215" t="s">
        <v>15</v>
      </c>
      <c r="G75" s="215" t="s">
        <v>14</v>
      </c>
      <c r="H75" s="251" t="s">
        <v>17</v>
      </c>
      <c r="I75" s="267" t="s">
        <v>232</v>
      </c>
      <c r="J75" s="268" t="s">
        <v>230</v>
      </c>
    </row>
    <row r="76" spans="1:10" ht="13.5" customHeight="1" x14ac:dyDescent="0.25">
      <c r="A76" s="238"/>
      <c r="B76" s="202"/>
      <c r="C76" s="202"/>
      <c r="D76" s="199"/>
      <c r="E76" s="199"/>
      <c r="F76" s="197"/>
      <c r="G76" s="197"/>
      <c r="H76" s="197"/>
      <c r="I76" s="297"/>
      <c r="J76" s="301"/>
    </row>
    <row r="77" spans="1:10" ht="25" x14ac:dyDescent="0.25">
      <c r="A77" s="467">
        <v>15</v>
      </c>
      <c r="B77" s="472" t="s">
        <v>210</v>
      </c>
      <c r="C77" s="468" t="s">
        <v>57</v>
      </c>
      <c r="D77" s="452" t="s">
        <v>188</v>
      </c>
      <c r="E77" s="468" t="s">
        <v>169</v>
      </c>
      <c r="F77" s="215" t="s">
        <v>44</v>
      </c>
      <c r="G77" s="182" t="s">
        <v>112</v>
      </c>
      <c r="H77" s="203">
        <f>'BPU LOT 1'!H77</f>
        <v>78</v>
      </c>
      <c r="I77" s="270">
        <v>10</v>
      </c>
      <c r="J77" s="273">
        <f t="shared" ref="J77:J81" si="11">I77*H77</f>
        <v>780</v>
      </c>
    </row>
    <row r="78" spans="1:10" ht="33" customHeight="1" x14ac:dyDescent="0.25">
      <c r="A78" s="467"/>
      <c r="B78" s="473"/>
      <c r="C78" s="468"/>
      <c r="D78" s="453"/>
      <c r="E78" s="468"/>
      <c r="F78" s="215" t="s">
        <v>67</v>
      </c>
      <c r="G78" s="182" t="s">
        <v>113</v>
      </c>
      <c r="H78" s="203">
        <f>'BPU LOT 1'!H78</f>
        <v>98</v>
      </c>
      <c r="I78" s="270">
        <v>5</v>
      </c>
      <c r="J78" s="273">
        <f t="shared" si="11"/>
        <v>490</v>
      </c>
    </row>
    <row r="79" spans="1:10" ht="25" x14ac:dyDescent="0.25">
      <c r="A79" s="467"/>
      <c r="B79" s="473"/>
      <c r="C79" s="468"/>
      <c r="D79" s="453"/>
      <c r="E79" s="468"/>
      <c r="F79" s="215" t="s">
        <v>68</v>
      </c>
      <c r="G79" s="182" t="s">
        <v>114</v>
      </c>
      <c r="H79" s="203">
        <f>'BPU LOT 1'!H79</f>
        <v>148</v>
      </c>
      <c r="I79" s="270">
        <v>10</v>
      </c>
      <c r="J79" s="273">
        <f t="shared" si="11"/>
        <v>1480</v>
      </c>
    </row>
    <row r="80" spans="1:10" ht="25" x14ac:dyDescent="0.25">
      <c r="A80" s="467"/>
      <c r="B80" s="473"/>
      <c r="C80" s="468"/>
      <c r="D80" s="453"/>
      <c r="E80" s="468"/>
      <c r="F80" s="215" t="s">
        <v>69</v>
      </c>
      <c r="G80" s="182" t="s">
        <v>115</v>
      </c>
      <c r="H80" s="203">
        <f>'BPU LOT 1'!H80</f>
        <v>198</v>
      </c>
      <c r="I80" s="270">
        <v>10</v>
      </c>
      <c r="J80" s="273">
        <f t="shared" si="11"/>
        <v>1980</v>
      </c>
    </row>
    <row r="81" spans="1:10" ht="27.75" customHeight="1" x14ac:dyDescent="0.25">
      <c r="A81" s="467"/>
      <c r="B81" s="474"/>
      <c r="C81" s="468"/>
      <c r="D81" s="454"/>
      <c r="E81" s="468"/>
      <c r="F81" s="215" t="s">
        <v>43</v>
      </c>
      <c r="G81" s="182" t="s">
        <v>116</v>
      </c>
      <c r="H81" s="203">
        <f>'BPU LOT 1'!H81</f>
        <v>98</v>
      </c>
      <c r="I81" s="270">
        <v>10</v>
      </c>
      <c r="J81" s="273">
        <f t="shared" si="11"/>
        <v>980</v>
      </c>
    </row>
    <row r="82" spans="1:10" x14ac:dyDescent="0.25">
      <c r="A82" s="233"/>
      <c r="C82" s="286"/>
      <c r="D82" s="286"/>
      <c r="F82" s="181"/>
      <c r="G82" s="191"/>
      <c r="I82" s="297"/>
      <c r="J82" s="301"/>
    </row>
    <row r="83" spans="1:10" x14ac:dyDescent="0.25">
      <c r="A83" s="460" t="s">
        <v>5</v>
      </c>
      <c r="B83" s="518"/>
      <c r="C83" s="520" t="s">
        <v>0</v>
      </c>
      <c r="D83" s="518" t="s">
        <v>175</v>
      </c>
      <c r="E83" s="520" t="s">
        <v>1</v>
      </c>
      <c r="F83" s="521" t="s">
        <v>50</v>
      </c>
      <c r="G83" s="522"/>
      <c r="H83" s="522"/>
      <c r="I83" s="297"/>
      <c r="J83" s="301"/>
    </row>
    <row r="84" spans="1:10" ht="26.25" customHeight="1" x14ac:dyDescent="0.25">
      <c r="A84" s="460"/>
      <c r="B84" s="519"/>
      <c r="C84" s="520"/>
      <c r="D84" s="519"/>
      <c r="E84" s="520"/>
      <c r="F84" s="215" t="s">
        <v>48</v>
      </c>
      <c r="G84" s="215" t="s">
        <v>14</v>
      </c>
      <c r="H84" s="251" t="s">
        <v>17</v>
      </c>
      <c r="I84" s="267" t="s">
        <v>232</v>
      </c>
      <c r="J84" s="268" t="s">
        <v>230</v>
      </c>
    </row>
    <row r="85" spans="1:10" ht="12.75" customHeight="1" x14ac:dyDescent="0.25">
      <c r="A85" s="233"/>
      <c r="C85" s="286"/>
      <c r="D85" s="286"/>
      <c r="I85" s="297"/>
      <c r="J85" s="301"/>
    </row>
    <row r="86" spans="1:10" ht="34.15" customHeight="1" x14ac:dyDescent="0.25">
      <c r="A86" s="467">
        <v>16</v>
      </c>
      <c r="B86" s="472" t="s">
        <v>210</v>
      </c>
      <c r="C86" s="468" t="s">
        <v>35</v>
      </c>
      <c r="D86" s="452" t="s">
        <v>179</v>
      </c>
      <c r="E86" s="469" t="s">
        <v>22</v>
      </c>
      <c r="F86" s="215" t="s">
        <v>46</v>
      </c>
      <c r="G86" s="182" t="s">
        <v>117</v>
      </c>
      <c r="H86" s="203">
        <f>'BPU LOT 1'!H86</f>
        <v>98</v>
      </c>
      <c r="I86" s="270">
        <v>10</v>
      </c>
      <c r="J86" s="273">
        <f t="shared" ref="J86:J88" si="12">I86*H86</f>
        <v>980</v>
      </c>
    </row>
    <row r="87" spans="1:10" ht="23.65" customHeight="1" x14ac:dyDescent="0.25">
      <c r="A87" s="467"/>
      <c r="B87" s="473"/>
      <c r="C87" s="468"/>
      <c r="D87" s="453"/>
      <c r="E87" s="470"/>
      <c r="F87" s="215" t="s">
        <v>47</v>
      </c>
      <c r="G87" s="182" t="s">
        <v>118</v>
      </c>
      <c r="H87" s="203">
        <f>'BPU LOT 1'!H87</f>
        <v>178</v>
      </c>
      <c r="I87" s="270">
        <v>10</v>
      </c>
      <c r="J87" s="273">
        <f t="shared" si="12"/>
        <v>1780</v>
      </c>
    </row>
    <row r="88" spans="1:10" ht="30" customHeight="1" x14ac:dyDescent="0.25">
      <c r="A88" s="467"/>
      <c r="B88" s="474"/>
      <c r="C88" s="468"/>
      <c r="D88" s="454"/>
      <c r="E88" s="471"/>
      <c r="F88" s="215" t="s">
        <v>49</v>
      </c>
      <c r="G88" s="182" t="s">
        <v>119</v>
      </c>
      <c r="H88" s="203">
        <f>'BPU LOT 1'!H88</f>
        <v>258</v>
      </c>
      <c r="I88" s="270">
        <v>10</v>
      </c>
      <c r="J88" s="273">
        <f t="shared" si="12"/>
        <v>2580</v>
      </c>
    </row>
    <row r="89" spans="1:10" x14ac:dyDescent="0.25">
      <c r="A89" s="233"/>
      <c r="I89" s="297"/>
      <c r="J89" s="301"/>
    </row>
    <row r="90" spans="1:10" ht="12.75" customHeight="1" x14ac:dyDescent="0.25">
      <c r="A90" s="516" t="s">
        <v>5</v>
      </c>
      <c r="B90" s="220"/>
      <c r="C90" s="518" t="s">
        <v>0</v>
      </c>
      <c r="D90" s="518" t="s">
        <v>175</v>
      </c>
      <c r="E90" s="518" t="s">
        <v>1</v>
      </c>
      <c r="F90" s="520" t="s">
        <v>31</v>
      </c>
      <c r="G90" s="520"/>
      <c r="H90" s="521"/>
      <c r="I90" s="297"/>
      <c r="J90" s="301"/>
    </row>
    <row r="91" spans="1:10" ht="12.75" customHeight="1" x14ac:dyDescent="0.25">
      <c r="A91" s="517"/>
      <c r="B91" s="219"/>
      <c r="C91" s="519"/>
      <c r="D91" s="519"/>
      <c r="E91" s="519"/>
      <c r="F91" s="215" t="s">
        <v>32</v>
      </c>
      <c r="G91" s="215" t="s">
        <v>14</v>
      </c>
      <c r="H91" s="251" t="s">
        <v>17</v>
      </c>
      <c r="I91" s="267" t="s">
        <v>232</v>
      </c>
      <c r="J91" s="268" t="s">
        <v>230</v>
      </c>
    </row>
    <row r="92" spans="1:10" ht="12.75" customHeight="1" x14ac:dyDescent="0.25">
      <c r="A92" s="233"/>
      <c r="I92" s="297"/>
      <c r="J92" s="301"/>
    </row>
    <row r="93" spans="1:10" ht="12.75" customHeight="1" x14ac:dyDescent="0.25">
      <c r="A93" s="467">
        <v>17</v>
      </c>
      <c r="B93" s="472" t="s">
        <v>210</v>
      </c>
      <c r="C93" s="468" t="s">
        <v>187</v>
      </c>
      <c r="D93" s="452" t="s">
        <v>179</v>
      </c>
      <c r="E93" s="469" t="s">
        <v>23</v>
      </c>
      <c r="F93" s="215" t="s">
        <v>20</v>
      </c>
      <c r="G93" s="182" t="s">
        <v>120</v>
      </c>
      <c r="H93" s="203">
        <f>'BPU LOT 1'!H93</f>
        <v>48</v>
      </c>
      <c r="I93" s="299">
        <v>5</v>
      </c>
      <c r="J93" s="273">
        <f t="shared" ref="J93:J97" si="13">I93*H93</f>
        <v>240</v>
      </c>
    </row>
    <row r="94" spans="1:10" ht="27" customHeight="1" x14ac:dyDescent="0.25">
      <c r="A94" s="467"/>
      <c r="B94" s="473"/>
      <c r="C94" s="468"/>
      <c r="D94" s="453"/>
      <c r="E94" s="470"/>
      <c r="F94" s="215" t="s">
        <v>62</v>
      </c>
      <c r="G94" s="182" t="s">
        <v>121</v>
      </c>
      <c r="H94" s="203">
        <f>'BPU LOT 1'!H94</f>
        <v>78</v>
      </c>
      <c r="I94" s="299">
        <v>10</v>
      </c>
      <c r="J94" s="273">
        <f t="shared" si="13"/>
        <v>780</v>
      </c>
    </row>
    <row r="95" spans="1:10" x14ac:dyDescent="0.25">
      <c r="A95" s="467"/>
      <c r="B95" s="473"/>
      <c r="C95" s="468"/>
      <c r="D95" s="453"/>
      <c r="E95" s="470"/>
      <c r="F95" s="215" t="s">
        <v>63</v>
      </c>
      <c r="G95" s="182" t="s">
        <v>122</v>
      </c>
      <c r="H95" s="203">
        <f>'BPU LOT 1'!H95</f>
        <v>98</v>
      </c>
      <c r="I95" s="299">
        <v>15</v>
      </c>
      <c r="J95" s="273">
        <f t="shared" si="13"/>
        <v>1470</v>
      </c>
    </row>
    <row r="96" spans="1:10" ht="29.25" customHeight="1" x14ac:dyDescent="0.25">
      <c r="A96" s="467"/>
      <c r="B96" s="473"/>
      <c r="C96" s="468"/>
      <c r="D96" s="453"/>
      <c r="E96" s="470"/>
      <c r="F96" s="215" t="s">
        <v>64</v>
      </c>
      <c r="G96" s="182" t="s">
        <v>123</v>
      </c>
      <c r="H96" s="203">
        <f>'BPU LOT 1'!H96</f>
        <v>158</v>
      </c>
      <c r="I96" s="299">
        <v>5</v>
      </c>
      <c r="J96" s="273">
        <f t="shared" si="13"/>
        <v>790</v>
      </c>
    </row>
    <row r="97" spans="1:10" ht="12.75" customHeight="1" x14ac:dyDescent="0.25">
      <c r="A97" s="467"/>
      <c r="B97" s="474"/>
      <c r="C97" s="468"/>
      <c r="D97" s="454"/>
      <c r="E97" s="471"/>
      <c r="F97" s="215" t="s">
        <v>34</v>
      </c>
      <c r="G97" s="182" t="s">
        <v>124</v>
      </c>
      <c r="H97" s="203">
        <f>'BPU LOT 1'!H97</f>
        <v>198</v>
      </c>
      <c r="I97" s="299">
        <v>2</v>
      </c>
      <c r="J97" s="273">
        <f t="shared" si="13"/>
        <v>396</v>
      </c>
    </row>
    <row r="98" spans="1:10" s="218" customFormat="1" ht="6.75" customHeight="1" x14ac:dyDescent="0.3">
      <c r="A98" s="233"/>
      <c r="B98" s="152"/>
      <c r="C98" s="151"/>
      <c r="D98" s="151"/>
      <c r="E98" s="151"/>
      <c r="F98" s="151"/>
      <c r="G98" s="151"/>
      <c r="H98" s="151"/>
      <c r="I98" s="300"/>
      <c r="J98" s="303"/>
    </row>
    <row r="99" spans="1:10" ht="8.25" customHeight="1" x14ac:dyDescent="0.25">
      <c r="A99" s="233"/>
      <c r="F99" s="194"/>
      <c r="G99" s="193"/>
      <c r="H99" s="234"/>
      <c r="I99" s="297"/>
      <c r="J99" s="301"/>
    </row>
    <row r="100" spans="1:10" ht="30" customHeight="1" x14ac:dyDescent="0.25">
      <c r="A100" s="467">
        <v>25</v>
      </c>
      <c r="B100" s="455" t="s">
        <v>214</v>
      </c>
      <c r="C100" s="468" t="s">
        <v>36</v>
      </c>
      <c r="D100" s="442" t="s">
        <v>199</v>
      </c>
      <c r="E100" s="468" t="s">
        <v>22</v>
      </c>
      <c r="F100" s="215" t="s">
        <v>46</v>
      </c>
      <c r="G100" s="182" t="s">
        <v>125</v>
      </c>
      <c r="H100" s="203">
        <f>'BPU LOT 1'!H100</f>
        <v>48</v>
      </c>
      <c r="I100" s="297"/>
      <c r="J100" s="301"/>
    </row>
    <row r="101" spans="1:10" ht="30" customHeight="1" x14ac:dyDescent="0.25">
      <c r="A101" s="467"/>
      <c r="B101" s="455"/>
      <c r="C101" s="468"/>
      <c r="D101" s="442"/>
      <c r="E101" s="468"/>
      <c r="F101" s="215" t="s">
        <v>47</v>
      </c>
      <c r="G101" s="182" t="s">
        <v>126</v>
      </c>
      <c r="H101" s="203">
        <f>'BPU LOT 1'!H101</f>
        <v>68</v>
      </c>
      <c r="I101" s="297"/>
      <c r="J101" s="301"/>
    </row>
    <row r="102" spans="1:10" ht="30" customHeight="1" x14ac:dyDescent="0.25">
      <c r="A102" s="467"/>
      <c r="B102" s="455"/>
      <c r="C102" s="468"/>
      <c r="D102" s="442"/>
      <c r="E102" s="468"/>
      <c r="F102" s="215" t="s">
        <v>49</v>
      </c>
      <c r="G102" s="182" t="s">
        <v>127</v>
      </c>
      <c r="H102" s="203">
        <f>'BPU LOT 1'!H102</f>
        <v>118</v>
      </c>
      <c r="I102" s="297"/>
      <c r="J102" s="301"/>
    </row>
    <row r="103" spans="1:10" ht="12.75" customHeight="1" x14ac:dyDescent="0.25">
      <c r="A103" s="233"/>
      <c r="F103" s="194"/>
      <c r="G103" s="193"/>
      <c r="H103" s="234"/>
      <c r="I103" s="297"/>
      <c r="J103" s="301"/>
    </row>
    <row r="104" spans="1:10" x14ac:dyDescent="0.25">
      <c r="A104" s="515" t="s">
        <v>5</v>
      </c>
      <c r="B104" s="500"/>
      <c r="C104" s="456" t="s">
        <v>0</v>
      </c>
      <c r="D104" s="213"/>
      <c r="E104" s="500" t="s">
        <v>1</v>
      </c>
      <c r="F104" s="456" t="s">
        <v>31</v>
      </c>
      <c r="G104" s="456"/>
      <c r="H104" s="457"/>
      <c r="I104" s="297"/>
      <c r="J104" s="301"/>
    </row>
    <row r="105" spans="1:10" ht="24" customHeight="1" x14ac:dyDescent="0.25">
      <c r="A105" s="515"/>
      <c r="B105" s="501"/>
      <c r="C105" s="456"/>
      <c r="D105" s="217"/>
      <c r="E105" s="501"/>
      <c r="F105" s="216" t="s">
        <v>32</v>
      </c>
      <c r="G105" s="216" t="s">
        <v>14</v>
      </c>
      <c r="H105" s="252" t="s">
        <v>17</v>
      </c>
      <c r="I105" s="269" t="s">
        <v>232</v>
      </c>
      <c r="J105" s="212" t="s">
        <v>230</v>
      </c>
    </row>
    <row r="106" spans="1:10" ht="12.75" customHeight="1" x14ac:dyDescent="0.25">
      <c r="A106" s="233"/>
      <c r="I106" s="297"/>
      <c r="J106" s="301"/>
    </row>
    <row r="107" spans="1:10" x14ac:dyDescent="0.25">
      <c r="A107" s="467">
        <v>26</v>
      </c>
      <c r="B107" s="472" t="s">
        <v>214</v>
      </c>
      <c r="C107" s="468" t="s">
        <v>171</v>
      </c>
      <c r="D107" s="452" t="s">
        <v>239</v>
      </c>
      <c r="E107" s="502" t="s">
        <v>178</v>
      </c>
      <c r="F107" s="215" t="s">
        <v>20</v>
      </c>
      <c r="G107" s="182" t="s">
        <v>128</v>
      </c>
      <c r="H107" s="203">
        <f>'BPU LOT 1'!H107</f>
        <v>48</v>
      </c>
      <c r="I107" s="270">
        <v>5</v>
      </c>
      <c r="J107" s="273">
        <f t="shared" ref="J107:J112" si="14">I107*H107</f>
        <v>240</v>
      </c>
    </row>
    <row r="108" spans="1:10" ht="41.5" customHeight="1" x14ac:dyDescent="0.25">
      <c r="A108" s="467"/>
      <c r="B108" s="473"/>
      <c r="C108" s="468"/>
      <c r="D108" s="453"/>
      <c r="E108" s="470"/>
      <c r="F108" s="215" t="s">
        <v>62</v>
      </c>
      <c r="G108" s="182" t="s">
        <v>129</v>
      </c>
      <c r="H108" s="203">
        <f>'BPU LOT 1'!H108</f>
        <v>58</v>
      </c>
      <c r="I108" s="270">
        <v>5</v>
      </c>
      <c r="J108" s="273">
        <f t="shared" si="14"/>
        <v>290</v>
      </c>
    </row>
    <row r="109" spans="1:10" ht="12.75" customHeight="1" x14ac:dyDescent="0.25">
      <c r="A109" s="467"/>
      <c r="B109" s="473"/>
      <c r="C109" s="468"/>
      <c r="D109" s="453"/>
      <c r="E109" s="470"/>
      <c r="F109" s="215" t="s">
        <v>62</v>
      </c>
      <c r="G109" s="182" t="s">
        <v>129</v>
      </c>
      <c r="H109" s="203">
        <f>'BPU LOT 1'!H109</f>
        <v>59</v>
      </c>
      <c r="I109" s="270">
        <v>5</v>
      </c>
      <c r="J109" s="273">
        <f t="shared" si="14"/>
        <v>295</v>
      </c>
    </row>
    <row r="110" spans="1:10" x14ac:dyDescent="0.25">
      <c r="A110" s="467"/>
      <c r="B110" s="473"/>
      <c r="C110" s="468"/>
      <c r="D110" s="453"/>
      <c r="E110" s="470"/>
      <c r="F110" s="215" t="s">
        <v>63</v>
      </c>
      <c r="G110" s="182" t="s">
        <v>130</v>
      </c>
      <c r="H110" s="203">
        <f>'BPU LOT 1'!H110</f>
        <v>68</v>
      </c>
      <c r="I110" s="270">
        <v>5</v>
      </c>
      <c r="J110" s="273">
        <f t="shared" si="14"/>
        <v>340</v>
      </c>
    </row>
    <row r="111" spans="1:10" ht="12.75" customHeight="1" x14ac:dyDescent="0.25">
      <c r="A111" s="467"/>
      <c r="B111" s="473"/>
      <c r="C111" s="468"/>
      <c r="D111" s="453"/>
      <c r="E111" s="470"/>
      <c r="F111" s="215" t="s">
        <v>64</v>
      </c>
      <c r="G111" s="182" t="s">
        <v>131</v>
      </c>
      <c r="H111" s="203">
        <f>'BPU LOT 1'!H111</f>
        <v>98</v>
      </c>
      <c r="I111" s="270">
        <v>5</v>
      </c>
      <c r="J111" s="273">
        <f t="shared" si="14"/>
        <v>490</v>
      </c>
    </row>
    <row r="112" spans="1:10" x14ac:dyDescent="0.25">
      <c r="A112" s="467"/>
      <c r="B112" s="474"/>
      <c r="C112" s="468"/>
      <c r="D112" s="454"/>
      <c r="E112" s="471"/>
      <c r="F112" s="215" t="s">
        <v>34</v>
      </c>
      <c r="G112" s="182" t="s">
        <v>132</v>
      </c>
      <c r="H112" s="203">
        <f>'BPU LOT 1'!H112</f>
        <v>138</v>
      </c>
      <c r="I112" s="270">
        <v>5</v>
      </c>
      <c r="J112" s="273">
        <f t="shared" si="14"/>
        <v>690</v>
      </c>
    </row>
    <row r="113" spans="1:10" x14ac:dyDescent="0.25">
      <c r="A113" s="285"/>
      <c r="B113" s="191"/>
      <c r="C113" s="181"/>
      <c r="D113" s="181"/>
      <c r="H113" s="152"/>
      <c r="I113" s="297"/>
      <c r="J113" s="301"/>
    </row>
    <row r="114" spans="1:10" ht="32.25" customHeight="1" x14ac:dyDescent="0.25">
      <c r="A114" s="269" t="s">
        <v>5</v>
      </c>
      <c r="B114" s="213"/>
      <c r="C114" s="213" t="s">
        <v>0</v>
      </c>
      <c r="D114" s="214"/>
      <c r="E114" s="457" t="s">
        <v>1</v>
      </c>
      <c r="F114" s="508"/>
      <c r="G114" s="213" t="s">
        <v>14</v>
      </c>
      <c r="H114" s="214" t="s">
        <v>17</v>
      </c>
      <c r="I114" s="269" t="s">
        <v>232</v>
      </c>
      <c r="J114" s="212" t="s">
        <v>230</v>
      </c>
    </row>
    <row r="115" spans="1:10" ht="14.25" customHeight="1" x14ac:dyDescent="0.25">
      <c r="A115" s="238"/>
      <c r="B115" s="202"/>
      <c r="C115" s="197"/>
      <c r="D115" s="197"/>
      <c r="E115" s="197"/>
      <c r="F115" s="197"/>
      <c r="G115" s="197"/>
      <c r="H115" s="197"/>
      <c r="I115" s="297"/>
      <c r="J115" s="301"/>
    </row>
    <row r="116" spans="1:10" ht="125.25" customHeight="1" x14ac:dyDescent="0.25">
      <c r="A116" s="236" t="s">
        <v>185</v>
      </c>
      <c r="B116" s="179" t="s">
        <v>214</v>
      </c>
      <c r="C116" s="178" t="s">
        <v>181</v>
      </c>
      <c r="D116" s="211" t="s">
        <v>182</v>
      </c>
      <c r="E116" s="485" t="s">
        <v>233</v>
      </c>
      <c r="F116" s="486"/>
      <c r="G116" s="210" t="s">
        <v>180</v>
      </c>
      <c r="H116" s="203">
        <f>'BPU LOT 1'!H116</f>
        <v>60</v>
      </c>
      <c r="I116" s="270">
        <v>60</v>
      </c>
      <c r="J116" s="271">
        <f>I116*H116</f>
        <v>3600</v>
      </c>
    </row>
    <row r="117" spans="1:10" x14ac:dyDescent="0.25">
      <c r="A117" s="233"/>
      <c r="I117" s="297"/>
      <c r="J117" s="301"/>
    </row>
    <row r="118" spans="1:10" ht="12.75" customHeight="1" x14ac:dyDescent="0.25">
      <c r="A118" s="444" t="s">
        <v>184</v>
      </c>
      <c r="B118" s="445"/>
      <c r="C118" s="445"/>
      <c r="D118" s="445"/>
      <c r="E118" s="445"/>
      <c r="F118" s="445"/>
      <c r="G118" s="445"/>
      <c r="H118" s="445"/>
      <c r="I118" s="297"/>
      <c r="J118" s="301"/>
    </row>
    <row r="119" spans="1:10" ht="7.5" customHeight="1" x14ac:dyDescent="0.25">
      <c r="A119" s="237"/>
      <c r="B119" s="249"/>
      <c r="C119" s="249"/>
      <c r="D119" s="249"/>
      <c r="E119" s="249"/>
      <c r="F119" s="249"/>
      <c r="G119" s="249"/>
      <c r="H119" s="249"/>
      <c r="I119" s="297"/>
      <c r="J119" s="301"/>
    </row>
    <row r="120" spans="1:10" x14ac:dyDescent="0.25">
      <c r="A120" s="509" t="s">
        <v>5</v>
      </c>
      <c r="B120" s="209"/>
      <c r="C120" s="511" t="s">
        <v>0</v>
      </c>
      <c r="D120" s="205"/>
      <c r="E120" s="511" t="s">
        <v>1</v>
      </c>
      <c r="F120" s="513" t="s">
        <v>13</v>
      </c>
      <c r="G120" s="514"/>
      <c r="H120" s="514"/>
      <c r="I120" s="297"/>
      <c r="J120" s="301"/>
    </row>
    <row r="121" spans="1:10" ht="25" x14ac:dyDescent="0.25">
      <c r="A121" s="510"/>
      <c r="B121" s="208" t="s">
        <v>215</v>
      </c>
      <c r="C121" s="512"/>
      <c r="D121" s="207"/>
      <c r="E121" s="512"/>
      <c r="F121" s="206" t="s">
        <v>16</v>
      </c>
      <c r="G121" s="205" t="s">
        <v>14</v>
      </c>
      <c r="H121" s="253" t="s">
        <v>17</v>
      </c>
      <c r="I121" s="272" t="s">
        <v>232</v>
      </c>
      <c r="J121" s="204" t="s">
        <v>230</v>
      </c>
    </row>
    <row r="122" spans="1:10" x14ac:dyDescent="0.25">
      <c r="A122" s="238"/>
      <c r="B122" s="202"/>
      <c r="C122" s="202"/>
      <c r="D122" s="202"/>
      <c r="E122" s="202"/>
      <c r="F122" s="197"/>
      <c r="G122" s="197"/>
      <c r="H122" s="197"/>
      <c r="I122" s="297"/>
      <c r="J122" s="301"/>
    </row>
    <row r="123" spans="1:10" ht="13.5" customHeight="1" x14ac:dyDescent="0.25">
      <c r="A123" s="467">
        <v>9</v>
      </c>
      <c r="B123" s="472">
        <v>4</v>
      </c>
      <c r="C123" s="468" t="s">
        <v>9</v>
      </c>
      <c r="D123" s="502" t="s">
        <v>178</v>
      </c>
      <c r="E123" s="468" t="s">
        <v>10</v>
      </c>
      <c r="F123" s="201" t="s">
        <v>3</v>
      </c>
      <c r="G123" s="182" t="s">
        <v>105</v>
      </c>
      <c r="H123" s="305">
        <f>'BPU LOT 1'!H123</f>
        <v>35</v>
      </c>
      <c r="I123" s="270">
        <v>50</v>
      </c>
      <c r="J123" s="273">
        <f t="shared" ref="J123:J131" si="15">I123*H123</f>
        <v>1750</v>
      </c>
    </row>
    <row r="124" spans="1:10" x14ac:dyDescent="0.25">
      <c r="A124" s="467"/>
      <c r="B124" s="473"/>
      <c r="C124" s="468"/>
      <c r="D124" s="470"/>
      <c r="E124" s="468"/>
      <c r="F124" s="201" t="s">
        <v>4</v>
      </c>
      <c r="G124" s="182" t="s">
        <v>106</v>
      </c>
      <c r="H124" s="305">
        <f>'BPU LOT 1'!H124</f>
        <v>33</v>
      </c>
      <c r="I124" s="270">
        <v>100</v>
      </c>
      <c r="J124" s="273">
        <f t="shared" si="15"/>
        <v>3300</v>
      </c>
    </row>
    <row r="125" spans="1:10" x14ac:dyDescent="0.25">
      <c r="A125" s="467"/>
      <c r="B125" s="474"/>
      <c r="C125" s="468"/>
      <c r="D125" s="471"/>
      <c r="E125" s="468"/>
      <c r="F125" s="201" t="s">
        <v>7</v>
      </c>
      <c r="G125" s="182" t="s">
        <v>107</v>
      </c>
      <c r="H125" s="305">
        <f>'BPU LOT 1'!H125</f>
        <v>30</v>
      </c>
      <c r="I125" s="270">
        <v>50</v>
      </c>
      <c r="J125" s="273">
        <f t="shared" si="15"/>
        <v>1500</v>
      </c>
    </row>
    <row r="126" spans="1:10" x14ac:dyDescent="0.25">
      <c r="A126" s="467">
        <v>27</v>
      </c>
      <c r="B126" s="472">
        <v>4</v>
      </c>
      <c r="C126" s="533" t="s">
        <v>190</v>
      </c>
      <c r="D126" s="502" t="s">
        <v>178</v>
      </c>
      <c r="E126" s="468" t="s">
        <v>6</v>
      </c>
      <c r="F126" s="200" t="s">
        <v>21</v>
      </c>
      <c r="G126" s="182" t="s">
        <v>133</v>
      </c>
      <c r="H126" s="305">
        <f>'BPU LOT 1'!H126</f>
        <v>14</v>
      </c>
      <c r="I126" s="270">
        <v>100</v>
      </c>
      <c r="J126" s="273">
        <f t="shared" si="15"/>
        <v>1400</v>
      </c>
    </row>
    <row r="127" spans="1:10" x14ac:dyDescent="0.25">
      <c r="A127" s="467"/>
      <c r="B127" s="473"/>
      <c r="C127" s="533"/>
      <c r="D127" s="470"/>
      <c r="E127" s="468"/>
      <c r="F127" s="200" t="s">
        <v>41</v>
      </c>
      <c r="G127" s="182" t="s">
        <v>134</v>
      </c>
      <c r="H127" s="305">
        <f>'BPU LOT 1'!H127</f>
        <v>13</v>
      </c>
      <c r="I127" s="270">
        <v>100</v>
      </c>
      <c r="J127" s="273">
        <f t="shared" si="15"/>
        <v>1300</v>
      </c>
    </row>
    <row r="128" spans="1:10" x14ac:dyDescent="0.25">
      <c r="A128" s="467"/>
      <c r="B128" s="474"/>
      <c r="C128" s="533"/>
      <c r="D128" s="471"/>
      <c r="E128" s="468"/>
      <c r="F128" s="200" t="s">
        <v>42</v>
      </c>
      <c r="G128" s="182" t="s">
        <v>135</v>
      </c>
      <c r="H128" s="305">
        <f>'BPU LOT 1'!H128</f>
        <v>12</v>
      </c>
      <c r="I128" s="270">
        <v>100</v>
      </c>
      <c r="J128" s="273">
        <f t="shared" si="15"/>
        <v>1200</v>
      </c>
    </row>
    <row r="129" spans="1:10" x14ac:dyDescent="0.25">
      <c r="A129" s="467">
        <v>28</v>
      </c>
      <c r="B129" s="472">
        <v>4</v>
      </c>
      <c r="C129" s="468" t="s">
        <v>189</v>
      </c>
      <c r="D129" s="503" t="s">
        <v>192</v>
      </c>
      <c r="E129" s="468" t="s">
        <v>6</v>
      </c>
      <c r="F129" s="200" t="s">
        <v>21</v>
      </c>
      <c r="G129" s="182" t="s">
        <v>136</v>
      </c>
      <c r="H129" s="305">
        <f>'BPU LOT 1'!H129</f>
        <v>23</v>
      </c>
      <c r="I129" s="270">
        <v>400</v>
      </c>
      <c r="J129" s="273">
        <f t="shared" si="15"/>
        <v>9200</v>
      </c>
    </row>
    <row r="130" spans="1:10" x14ac:dyDescent="0.25">
      <c r="A130" s="467"/>
      <c r="B130" s="473"/>
      <c r="C130" s="468"/>
      <c r="D130" s="504"/>
      <c r="E130" s="468"/>
      <c r="F130" s="200" t="s">
        <v>41</v>
      </c>
      <c r="G130" s="182" t="s">
        <v>137</v>
      </c>
      <c r="H130" s="305">
        <f>'BPU LOT 1'!H130</f>
        <v>22</v>
      </c>
      <c r="I130" s="270">
        <v>750</v>
      </c>
      <c r="J130" s="273">
        <f t="shared" si="15"/>
        <v>16500</v>
      </c>
    </row>
    <row r="131" spans="1:10" x14ac:dyDescent="0.25">
      <c r="A131" s="467"/>
      <c r="B131" s="474"/>
      <c r="C131" s="468"/>
      <c r="D131" s="505"/>
      <c r="E131" s="468"/>
      <c r="F131" s="200" t="s">
        <v>42</v>
      </c>
      <c r="G131" s="182" t="s">
        <v>138</v>
      </c>
      <c r="H131" s="305">
        <f>'BPU LOT 1'!H131</f>
        <v>21</v>
      </c>
      <c r="I131" s="270">
        <v>200</v>
      </c>
      <c r="J131" s="273">
        <f t="shared" si="15"/>
        <v>4200</v>
      </c>
    </row>
    <row r="132" spans="1:10" ht="12.75" customHeight="1" x14ac:dyDescent="0.25">
      <c r="A132" s="233"/>
      <c r="G132" s="199"/>
      <c r="I132" s="297"/>
      <c r="J132" s="301"/>
    </row>
    <row r="133" spans="1:10" ht="16.5" customHeight="1" x14ac:dyDescent="0.25">
      <c r="A133" s="287"/>
      <c r="B133" s="151"/>
      <c r="E133" s="181"/>
      <c r="I133" s="297"/>
      <c r="J133" s="301"/>
    </row>
    <row r="134" spans="1:10" x14ac:dyDescent="0.25">
      <c r="A134" s="506" t="s">
        <v>40</v>
      </c>
      <c r="B134" s="507"/>
      <c r="C134" s="507"/>
      <c r="D134" s="507"/>
      <c r="E134" s="507"/>
      <c r="F134" s="507"/>
      <c r="G134" s="507"/>
      <c r="H134" s="507"/>
      <c r="I134" s="297"/>
      <c r="J134" s="301"/>
    </row>
    <row r="135" spans="1:10" ht="12.5" x14ac:dyDescent="0.25">
      <c r="A135" s="288"/>
      <c r="B135" s="254"/>
      <c r="C135" s="254"/>
      <c r="D135" s="254"/>
      <c r="E135" s="254"/>
      <c r="F135" s="254"/>
      <c r="G135" s="254"/>
      <c r="H135" s="254"/>
      <c r="I135" s="297"/>
      <c r="J135" s="301"/>
    </row>
    <row r="136" spans="1:10" x14ac:dyDescent="0.25">
      <c r="A136" s="444" t="s">
        <v>60</v>
      </c>
      <c r="B136" s="445"/>
      <c r="C136" s="445"/>
      <c r="D136" s="445"/>
      <c r="E136" s="445"/>
      <c r="F136" s="445"/>
      <c r="G136" s="445"/>
      <c r="H136" s="445"/>
      <c r="I136" s="297"/>
      <c r="J136" s="301"/>
    </row>
    <row r="137" spans="1:10" ht="16.5" customHeight="1" x14ac:dyDescent="0.25">
      <c r="A137" s="287"/>
      <c r="B137" s="151"/>
      <c r="E137" s="181"/>
      <c r="I137" s="297"/>
      <c r="J137" s="301"/>
    </row>
    <row r="138" spans="1:10" ht="26" x14ac:dyDescent="0.25">
      <c r="A138" s="289" t="s">
        <v>5</v>
      </c>
      <c r="B138" s="189"/>
      <c r="C138" s="189" t="s">
        <v>0</v>
      </c>
      <c r="D138" s="190"/>
      <c r="E138" s="483" t="s">
        <v>1</v>
      </c>
      <c r="F138" s="484"/>
      <c r="G138" s="196" t="s">
        <v>14</v>
      </c>
      <c r="H138" s="255" t="s">
        <v>17</v>
      </c>
      <c r="I138" s="274" t="s">
        <v>232</v>
      </c>
      <c r="J138" s="243" t="s">
        <v>230</v>
      </c>
    </row>
    <row r="139" spans="1:10" ht="12.5" x14ac:dyDescent="0.25">
      <c r="A139" s="265"/>
      <c r="B139" s="150"/>
      <c r="C139" s="150"/>
      <c r="D139" s="150"/>
      <c r="E139" s="150"/>
      <c r="F139" s="198"/>
      <c r="G139" s="197"/>
      <c r="H139" s="197"/>
      <c r="I139" s="297"/>
      <c r="J139" s="301"/>
    </row>
    <row r="140" spans="1:10" ht="25.5" customHeight="1" x14ac:dyDescent="0.25">
      <c r="A140" s="240">
        <v>36</v>
      </c>
      <c r="B140" s="179" t="s">
        <v>216</v>
      </c>
      <c r="C140" s="178" t="s">
        <v>58</v>
      </c>
      <c r="D140" s="188"/>
      <c r="E140" s="485" t="s">
        <v>6</v>
      </c>
      <c r="F140" s="486"/>
      <c r="G140" s="182" t="s">
        <v>139</v>
      </c>
      <c r="H140" s="203">
        <f>'BPU LOT 1'!H140</f>
        <v>38</v>
      </c>
      <c r="I140" s="270">
        <v>50</v>
      </c>
      <c r="J140" s="271">
        <f>I140*H140</f>
        <v>1900</v>
      </c>
    </row>
    <row r="141" spans="1:10" x14ac:dyDescent="0.25">
      <c r="A141" s="285"/>
      <c r="B141" s="191"/>
      <c r="C141" s="191"/>
      <c r="D141" s="191"/>
      <c r="E141" s="191"/>
      <c r="F141" s="191"/>
      <c r="G141" s="191"/>
      <c r="H141" s="191"/>
      <c r="I141" s="297"/>
      <c r="J141" s="301"/>
    </row>
    <row r="142" spans="1:10" ht="25.5" customHeight="1" x14ac:dyDescent="0.25">
      <c r="A142" s="495" t="s">
        <v>5</v>
      </c>
      <c r="B142" s="196"/>
      <c r="C142" s="497" t="s">
        <v>0</v>
      </c>
      <c r="D142" s="196"/>
      <c r="E142" s="497" t="s">
        <v>1</v>
      </c>
      <c r="F142" s="483" t="s">
        <v>86</v>
      </c>
      <c r="G142" s="499"/>
      <c r="H142" s="499"/>
      <c r="I142" s="297"/>
      <c r="J142" s="301"/>
    </row>
    <row r="143" spans="1:10" ht="25" x14ac:dyDescent="0.25">
      <c r="A143" s="496"/>
      <c r="B143" s="195"/>
      <c r="C143" s="498"/>
      <c r="D143" s="195"/>
      <c r="E143" s="498"/>
      <c r="F143" s="192" t="s">
        <v>168</v>
      </c>
      <c r="G143" s="192" t="s">
        <v>14</v>
      </c>
      <c r="H143" s="244" t="s">
        <v>17</v>
      </c>
      <c r="I143" s="275" t="s">
        <v>232</v>
      </c>
      <c r="J143" s="276" t="s">
        <v>230</v>
      </c>
    </row>
    <row r="144" spans="1:10" ht="12.75" customHeight="1" x14ac:dyDescent="0.25">
      <c r="A144" s="287"/>
      <c r="B144" s="151"/>
      <c r="I144" s="297"/>
      <c r="J144" s="301"/>
    </row>
    <row r="145" spans="1:10" ht="25" x14ac:dyDescent="0.25">
      <c r="A145" s="467">
        <v>37</v>
      </c>
      <c r="B145" s="472" t="s">
        <v>216</v>
      </c>
      <c r="C145" s="468" t="s">
        <v>59</v>
      </c>
      <c r="D145" s="469"/>
      <c r="E145" s="468" t="s">
        <v>84</v>
      </c>
      <c r="F145" s="192" t="s">
        <v>85</v>
      </c>
      <c r="G145" s="182" t="s">
        <v>140</v>
      </c>
      <c r="H145" s="203">
        <f>'BPU LOT 1'!H145</f>
        <v>148</v>
      </c>
      <c r="I145" s="270">
        <v>10</v>
      </c>
      <c r="J145" s="271">
        <f>I145*H145</f>
        <v>1480</v>
      </c>
    </row>
    <row r="146" spans="1:10" ht="24" customHeight="1" x14ac:dyDescent="0.25">
      <c r="A146" s="467"/>
      <c r="B146" s="473"/>
      <c r="C146" s="468"/>
      <c r="D146" s="470"/>
      <c r="E146" s="468"/>
      <c r="F146" s="192" t="s">
        <v>80</v>
      </c>
      <c r="G146" s="182" t="s">
        <v>141</v>
      </c>
      <c r="H146" s="203">
        <f>'BPU LOT 1'!H146</f>
        <v>178</v>
      </c>
      <c r="I146" s="270">
        <v>5</v>
      </c>
      <c r="J146" s="271">
        <f t="shared" ref="J146:J149" si="16">I146*H146</f>
        <v>890</v>
      </c>
    </row>
    <row r="147" spans="1:10" ht="29.25" customHeight="1" x14ac:dyDescent="0.25">
      <c r="A147" s="467"/>
      <c r="B147" s="473"/>
      <c r="C147" s="468"/>
      <c r="D147" s="470"/>
      <c r="E147" s="468"/>
      <c r="F147" s="192" t="s">
        <v>81</v>
      </c>
      <c r="G147" s="182" t="s">
        <v>142</v>
      </c>
      <c r="H147" s="203">
        <f>'BPU LOT 1'!H147</f>
        <v>198</v>
      </c>
      <c r="I147" s="270">
        <v>5</v>
      </c>
      <c r="J147" s="271">
        <f t="shared" si="16"/>
        <v>990</v>
      </c>
    </row>
    <row r="148" spans="1:10" x14ac:dyDescent="0.25">
      <c r="A148" s="467"/>
      <c r="B148" s="473"/>
      <c r="C148" s="468"/>
      <c r="D148" s="470"/>
      <c r="E148" s="468"/>
      <c r="F148" s="192" t="s">
        <v>82</v>
      </c>
      <c r="G148" s="182" t="s">
        <v>143</v>
      </c>
      <c r="H148" s="203">
        <f>'BPU LOT 1'!H148</f>
        <v>218</v>
      </c>
      <c r="I148" s="270">
        <v>10</v>
      </c>
      <c r="J148" s="271">
        <f t="shared" si="16"/>
        <v>2180</v>
      </c>
    </row>
    <row r="149" spans="1:10" ht="27" customHeight="1" x14ac:dyDescent="0.25">
      <c r="A149" s="467"/>
      <c r="B149" s="474"/>
      <c r="C149" s="468"/>
      <c r="D149" s="471"/>
      <c r="E149" s="468"/>
      <c r="F149" s="192" t="s">
        <v>43</v>
      </c>
      <c r="G149" s="182" t="s">
        <v>144</v>
      </c>
      <c r="H149" s="203">
        <f>'BPU LOT 1'!H149</f>
        <v>248</v>
      </c>
      <c r="I149" s="270">
        <v>2</v>
      </c>
      <c r="J149" s="271">
        <f t="shared" si="16"/>
        <v>496</v>
      </c>
    </row>
    <row r="150" spans="1:10" ht="12" customHeight="1" x14ac:dyDescent="0.25">
      <c r="A150" s="287"/>
      <c r="B150" s="151"/>
      <c r="C150" s="152"/>
      <c r="D150" s="152"/>
      <c r="E150" s="152"/>
      <c r="F150" s="152"/>
      <c r="G150" s="152"/>
      <c r="H150" s="152"/>
      <c r="I150" s="297"/>
      <c r="J150" s="301"/>
    </row>
    <row r="151" spans="1:10" ht="21" customHeight="1" x14ac:dyDescent="0.25">
      <c r="A151" s="495" t="s">
        <v>5</v>
      </c>
      <c r="B151" s="196"/>
      <c r="C151" s="497" t="s">
        <v>0</v>
      </c>
      <c r="D151" s="196"/>
      <c r="E151" s="497" t="s">
        <v>1</v>
      </c>
      <c r="F151" s="483" t="s">
        <v>31</v>
      </c>
      <c r="G151" s="499"/>
      <c r="H151" s="499"/>
      <c r="I151" s="297"/>
      <c r="J151" s="301"/>
    </row>
    <row r="152" spans="1:10" ht="25" x14ac:dyDescent="0.25">
      <c r="A152" s="496"/>
      <c r="B152" s="195"/>
      <c r="C152" s="498"/>
      <c r="D152" s="195"/>
      <c r="E152" s="498"/>
      <c r="F152" s="192" t="s">
        <v>32</v>
      </c>
      <c r="G152" s="192" t="s">
        <v>14</v>
      </c>
      <c r="H152" s="244" t="s">
        <v>17</v>
      </c>
      <c r="I152" s="275" t="s">
        <v>232</v>
      </c>
      <c r="J152" s="276" t="s">
        <v>230</v>
      </c>
    </row>
    <row r="153" spans="1:10" x14ac:dyDescent="0.25">
      <c r="A153" s="233"/>
      <c r="F153" s="194"/>
      <c r="G153" s="193"/>
      <c r="H153" s="234"/>
      <c r="I153" s="270"/>
      <c r="J153" s="273"/>
    </row>
    <row r="154" spans="1:10" x14ac:dyDescent="0.25">
      <c r="A154" s="467">
        <v>38</v>
      </c>
      <c r="B154" s="472" t="s">
        <v>216</v>
      </c>
      <c r="C154" s="468" t="s">
        <v>172</v>
      </c>
      <c r="D154" s="469"/>
      <c r="E154" s="469" t="s">
        <v>23</v>
      </c>
      <c r="F154" s="192" t="s">
        <v>20</v>
      </c>
      <c r="G154" s="182" t="s">
        <v>145</v>
      </c>
      <c r="H154" s="203">
        <f>'BPU LOT 1'!H154</f>
        <v>26</v>
      </c>
      <c r="I154" s="270">
        <v>5</v>
      </c>
      <c r="J154" s="271">
        <f>I154*H154</f>
        <v>130</v>
      </c>
    </row>
    <row r="155" spans="1:10" ht="12.75" customHeight="1" x14ac:dyDescent="0.25">
      <c r="A155" s="467"/>
      <c r="B155" s="473"/>
      <c r="C155" s="468"/>
      <c r="D155" s="470"/>
      <c r="E155" s="470"/>
      <c r="F155" s="192" t="s">
        <v>62</v>
      </c>
      <c r="G155" s="182" t="s">
        <v>146</v>
      </c>
      <c r="H155" s="203">
        <f>'BPU LOT 1'!H155</f>
        <v>39</v>
      </c>
      <c r="I155" s="270">
        <v>2</v>
      </c>
      <c r="J155" s="271">
        <f t="shared" ref="J155:J158" si="17">I155*H155</f>
        <v>78</v>
      </c>
    </row>
    <row r="156" spans="1:10" x14ac:dyDescent="0.25">
      <c r="A156" s="467"/>
      <c r="B156" s="473"/>
      <c r="C156" s="468"/>
      <c r="D156" s="470"/>
      <c r="E156" s="470"/>
      <c r="F156" s="192" t="s">
        <v>63</v>
      </c>
      <c r="G156" s="182" t="s">
        <v>147</v>
      </c>
      <c r="H156" s="203">
        <f>'BPU LOT 1'!H156</f>
        <v>55</v>
      </c>
      <c r="I156" s="270">
        <v>3</v>
      </c>
      <c r="J156" s="271">
        <f t="shared" si="17"/>
        <v>165</v>
      </c>
    </row>
    <row r="157" spans="1:10" ht="25.5" customHeight="1" x14ac:dyDescent="0.25">
      <c r="A157" s="467"/>
      <c r="B157" s="473"/>
      <c r="C157" s="468"/>
      <c r="D157" s="470"/>
      <c r="E157" s="470"/>
      <c r="F157" s="192" t="s">
        <v>64</v>
      </c>
      <c r="G157" s="182" t="s">
        <v>148</v>
      </c>
      <c r="H157" s="203">
        <f>'BPU LOT 1'!H157</f>
        <v>64</v>
      </c>
      <c r="I157" s="270">
        <v>1</v>
      </c>
      <c r="J157" s="271">
        <f t="shared" si="17"/>
        <v>64</v>
      </c>
    </row>
    <row r="158" spans="1:10" x14ac:dyDescent="0.25">
      <c r="A158" s="467"/>
      <c r="B158" s="474"/>
      <c r="C158" s="468"/>
      <c r="D158" s="471"/>
      <c r="E158" s="471"/>
      <c r="F158" s="192" t="s">
        <v>34</v>
      </c>
      <c r="G158" s="182" t="s">
        <v>149</v>
      </c>
      <c r="H158" s="203">
        <f>'BPU LOT 1'!H158</f>
        <v>78</v>
      </c>
      <c r="I158" s="270">
        <v>1</v>
      </c>
      <c r="J158" s="271">
        <f t="shared" si="17"/>
        <v>78</v>
      </c>
    </row>
    <row r="159" spans="1:10" ht="12.5" x14ac:dyDescent="0.25">
      <c r="A159" s="287"/>
      <c r="B159" s="151"/>
      <c r="I159" s="297"/>
      <c r="J159" s="301"/>
    </row>
    <row r="160" spans="1:10" ht="13.15" customHeight="1" x14ac:dyDescent="0.25">
      <c r="A160" s="444" t="s">
        <v>11</v>
      </c>
      <c r="B160" s="445"/>
      <c r="C160" s="445"/>
      <c r="D160" s="445"/>
      <c r="E160" s="445"/>
      <c r="F160" s="445"/>
      <c r="G160" s="445"/>
      <c r="H160" s="445"/>
      <c r="I160" s="297"/>
      <c r="J160" s="301"/>
    </row>
    <row r="161" spans="1:10" ht="12.75" customHeight="1" x14ac:dyDescent="0.25">
      <c r="A161" s="287"/>
      <c r="B161" s="151"/>
      <c r="G161" s="191"/>
      <c r="H161" s="191"/>
      <c r="I161" s="297"/>
      <c r="J161" s="301"/>
    </row>
    <row r="162" spans="1:10" ht="26" x14ac:dyDescent="0.25">
      <c r="A162" s="289" t="s">
        <v>5</v>
      </c>
      <c r="B162" s="189"/>
      <c r="C162" s="189" t="s">
        <v>0</v>
      </c>
      <c r="D162" s="190"/>
      <c r="E162" s="483" t="s">
        <v>1</v>
      </c>
      <c r="F162" s="484"/>
      <c r="G162" s="189" t="s">
        <v>14</v>
      </c>
      <c r="H162" s="190" t="s">
        <v>17</v>
      </c>
      <c r="I162" s="275" t="s">
        <v>232</v>
      </c>
      <c r="J162" s="276" t="s">
        <v>230</v>
      </c>
    </row>
    <row r="163" spans="1:10" ht="12.75" customHeight="1" x14ac:dyDescent="0.25">
      <c r="A163" s="287"/>
      <c r="B163" s="151"/>
      <c r="I163" s="270">
        <v>5</v>
      </c>
      <c r="J163" s="271">
        <f t="shared" ref="J163" si="18">I163*H163</f>
        <v>0</v>
      </c>
    </row>
    <row r="164" spans="1:10" x14ac:dyDescent="0.25">
      <c r="A164" s="240">
        <v>39</v>
      </c>
      <c r="B164" s="179"/>
      <c r="C164" s="178" t="s">
        <v>12</v>
      </c>
      <c r="D164" s="188"/>
      <c r="E164" s="485" t="s">
        <v>10</v>
      </c>
      <c r="F164" s="486"/>
      <c r="G164" s="182" t="s">
        <v>150</v>
      </c>
      <c r="H164" s="203">
        <f>'BPU LOT 1'!H164</f>
        <v>33</v>
      </c>
      <c r="I164" s="297"/>
      <c r="J164" s="301"/>
    </row>
    <row r="165" spans="1:10" ht="12.5" x14ac:dyDescent="0.25">
      <c r="A165" s="287"/>
      <c r="B165" s="151"/>
      <c r="I165" s="297"/>
      <c r="J165" s="301"/>
    </row>
    <row r="166" spans="1:10" ht="12.75" customHeight="1" x14ac:dyDescent="0.25">
      <c r="A166" s="487" t="s">
        <v>19</v>
      </c>
      <c r="B166" s="488"/>
      <c r="C166" s="488"/>
      <c r="D166" s="488"/>
      <c r="E166" s="488"/>
      <c r="F166" s="256"/>
      <c r="G166" s="256"/>
      <c r="H166" s="256"/>
      <c r="I166" s="297"/>
      <c r="J166" s="301"/>
    </row>
    <row r="167" spans="1:10" ht="12.5" x14ac:dyDescent="0.25">
      <c r="A167" s="287"/>
      <c r="B167" s="151"/>
      <c r="I167" s="297"/>
      <c r="J167" s="301"/>
    </row>
    <row r="168" spans="1:10" x14ac:dyDescent="0.25">
      <c r="A168" s="489" t="s">
        <v>5</v>
      </c>
      <c r="B168" s="491" t="s">
        <v>206</v>
      </c>
      <c r="C168" s="491" t="s">
        <v>0</v>
      </c>
      <c r="D168" s="187"/>
      <c r="E168" s="491" t="s">
        <v>1</v>
      </c>
      <c r="F168" s="493" t="s">
        <v>31</v>
      </c>
      <c r="G168" s="494"/>
      <c r="H168" s="494"/>
      <c r="I168" s="297"/>
      <c r="J168" s="301"/>
    </row>
    <row r="169" spans="1:10" ht="12.75" customHeight="1" x14ac:dyDescent="0.25">
      <c r="A169" s="490"/>
      <c r="B169" s="492"/>
      <c r="C169" s="492"/>
      <c r="D169" s="186"/>
      <c r="E169" s="492"/>
      <c r="F169" s="185" t="s">
        <v>32</v>
      </c>
      <c r="G169" s="185" t="s">
        <v>14</v>
      </c>
      <c r="H169" s="183" t="s">
        <v>17</v>
      </c>
      <c r="I169" s="277" t="s">
        <v>232</v>
      </c>
      <c r="J169" s="184" t="s">
        <v>230</v>
      </c>
    </row>
    <row r="170" spans="1:10" ht="12.75" customHeight="1" x14ac:dyDescent="0.25">
      <c r="A170" s="265"/>
      <c r="B170" s="150"/>
      <c r="C170" s="150"/>
      <c r="D170" s="150"/>
      <c r="E170" s="150"/>
      <c r="F170" s="150"/>
      <c r="G170" s="150"/>
      <c r="H170" s="150"/>
      <c r="I170" s="297"/>
      <c r="J170" s="301"/>
    </row>
    <row r="171" spans="1:10" x14ac:dyDescent="0.25">
      <c r="A171" s="467">
        <v>40</v>
      </c>
      <c r="B171" s="472" t="s">
        <v>217</v>
      </c>
      <c r="C171" s="468" t="s">
        <v>18</v>
      </c>
      <c r="D171" s="469"/>
      <c r="E171" s="468" t="s">
        <v>6</v>
      </c>
      <c r="F171" s="183" t="s">
        <v>61</v>
      </c>
      <c r="G171" s="182" t="s">
        <v>151</v>
      </c>
      <c r="H171" s="203">
        <f>'BPU LOT 1'!H171</f>
        <v>128</v>
      </c>
      <c r="I171" s="270">
        <v>5</v>
      </c>
      <c r="J171" s="271">
        <f t="shared" ref="J171:J185" si="19">I171*H171</f>
        <v>640</v>
      </c>
    </row>
    <row r="172" spans="1:10" x14ac:dyDescent="0.25">
      <c r="A172" s="467"/>
      <c r="B172" s="473"/>
      <c r="C172" s="468"/>
      <c r="D172" s="470"/>
      <c r="E172" s="468"/>
      <c r="F172" s="183" t="s">
        <v>66</v>
      </c>
      <c r="G172" s="182" t="s">
        <v>152</v>
      </c>
      <c r="H172" s="203">
        <f>'BPU LOT 1'!H172</f>
        <v>158</v>
      </c>
      <c r="I172" s="270">
        <v>5</v>
      </c>
      <c r="J172" s="271">
        <f t="shared" si="19"/>
        <v>790</v>
      </c>
    </row>
    <row r="173" spans="1:10" x14ac:dyDescent="0.25">
      <c r="A173" s="467"/>
      <c r="B173" s="474"/>
      <c r="C173" s="468"/>
      <c r="D173" s="471"/>
      <c r="E173" s="468"/>
      <c r="F173" s="183" t="s">
        <v>34</v>
      </c>
      <c r="G173" s="182" t="s">
        <v>153</v>
      </c>
      <c r="H173" s="203">
        <f>'BPU LOT 1'!H173</f>
        <v>198</v>
      </c>
      <c r="I173" s="270">
        <v>5</v>
      </c>
      <c r="J173" s="271">
        <f t="shared" si="19"/>
        <v>990</v>
      </c>
    </row>
    <row r="174" spans="1:10" ht="27.75" customHeight="1" x14ac:dyDescent="0.25">
      <c r="A174" s="287"/>
      <c r="B174" s="151"/>
      <c r="I174" s="297"/>
      <c r="J174" s="301"/>
    </row>
    <row r="175" spans="1:10" ht="26.25" customHeight="1" x14ac:dyDescent="0.25">
      <c r="A175" s="467">
        <v>56</v>
      </c>
      <c r="B175" s="472" t="s">
        <v>217</v>
      </c>
      <c r="C175" s="468" t="s">
        <v>76</v>
      </c>
      <c r="D175" s="469"/>
      <c r="E175" s="468" t="s">
        <v>78</v>
      </c>
      <c r="F175" s="177" t="s">
        <v>79</v>
      </c>
      <c r="G175" s="172" t="s">
        <v>154</v>
      </c>
      <c r="H175" s="203">
        <f>'BPU LOT 1'!H175</f>
        <v>198</v>
      </c>
      <c r="I175" s="270">
        <v>2</v>
      </c>
      <c r="J175" s="271">
        <f t="shared" si="19"/>
        <v>396</v>
      </c>
    </row>
    <row r="176" spans="1:10" ht="26.25" customHeight="1" x14ac:dyDescent="0.25">
      <c r="A176" s="467"/>
      <c r="B176" s="473"/>
      <c r="C176" s="468"/>
      <c r="D176" s="470"/>
      <c r="E176" s="468"/>
      <c r="F176" s="177" t="s">
        <v>80</v>
      </c>
      <c r="G176" s="172" t="s">
        <v>155</v>
      </c>
      <c r="H176" s="203">
        <f>'BPU LOT 1'!H176</f>
        <v>238</v>
      </c>
      <c r="I176" s="270">
        <v>2</v>
      </c>
      <c r="J176" s="271">
        <f t="shared" si="19"/>
        <v>476</v>
      </c>
    </row>
    <row r="177" spans="1:10" ht="26.25" customHeight="1" x14ac:dyDescent="0.25">
      <c r="A177" s="467"/>
      <c r="B177" s="473"/>
      <c r="C177" s="468"/>
      <c r="D177" s="470"/>
      <c r="E177" s="468"/>
      <c r="F177" s="177" t="s">
        <v>81</v>
      </c>
      <c r="G177" s="172" t="s">
        <v>156</v>
      </c>
      <c r="H177" s="203">
        <f>'BPU LOT 1'!H177</f>
        <v>278</v>
      </c>
      <c r="I177" s="270">
        <v>5</v>
      </c>
      <c r="J177" s="271">
        <f t="shared" si="19"/>
        <v>1390</v>
      </c>
    </row>
    <row r="178" spans="1:10" ht="26.25" customHeight="1" x14ac:dyDescent="0.25">
      <c r="A178" s="467"/>
      <c r="B178" s="473"/>
      <c r="C178" s="468"/>
      <c r="D178" s="470"/>
      <c r="E178" s="468"/>
      <c r="F178" s="177" t="s">
        <v>82</v>
      </c>
      <c r="G178" s="172" t="s">
        <v>157</v>
      </c>
      <c r="H178" s="203">
        <f>'BPU LOT 1'!H178</f>
        <v>298</v>
      </c>
      <c r="I178" s="270">
        <v>5</v>
      </c>
      <c r="J178" s="271">
        <f t="shared" si="19"/>
        <v>1490</v>
      </c>
    </row>
    <row r="179" spans="1:10" ht="26.25" customHeight="1" x14ac:dyDescent="0.25">
      <c r="A179" s="467"/>
      <c r="B179" s="474"/>
      <c r="C179" s="468"/>
      <c r="D179" s="471"/>
      <c r="E179" s="468"/>
      <c r="F179" s="177" t="s">
        <v>43</v>
      </c>
      <c r="G179" s="172" t="s">
        <v>158</v>
      </c>
      <c r="H179" s="203">
        <f>'BPU LOT 1'!H179</f>
        <v>328</v>
      </c>
      <c r="I179" s="270">
        <v>2</v>
      </c>
      <c r="J179" s="271">
        <f t="shared" si="19"/>
        <v>656</v>
      </c>
    </row>
    <row r="180" spans="1:10" x14ac:dyDescent="0.25">
      <c r="A180" s="233"/>
      <c r="C180" s="286"/>
      <c r="D180" s="286"/>
      <c r="F180" s="181"/>
      <c r="G180" s="290"/>
      <c r="I180" s="297"/>
      <c r="J180" s="301"/>
    </row>
    <row r="181" spans="1:10" ht="12.75" customHeight="1" x14ac:dyDescent="0.25">
      <c r="A181" s="467">
        <v>57</v>
      </c>
      <c r="B181" s="472" t="s">
        <v>217</v>
      </c>
      <c r="C181" s="468" t="s">
        <v>77</v>
      </c>
      <c r="D181" s="469"/>
      <c r="E181" s="469" t="s">
        <v>30</v>
      </c>
      <c r="F181" s="177" t="s">
        <v>24</v>
      </c>
      <c r="G181" s="172" t="s">
        <v>159</v>
      </c>
      <c r="H181" s="231">
        <f>'BPU LOT 1'!H181</f>
        <v>28</v>
      </c>
      <c r="I181" s="270">
        <v>5</v>
      </c>
      <c r="J181" s="271">
        <f t="shared" si="19"/>
        <v>140</v>
      </c>
    </row>
    <row r="182" spans="1:10" x14ac:dyDescent="0.25">
      <c r="A182" s="467"/>
      <c r="B182" s="473"/>
      <c r="C182" s="468"/>
      <c r="D182" s="470"/>
      <c r="E182" s="470"/>
      <c r="F182" s="177" t="s">
        <v>25</v>
      </c>
      <c r="G182" s="172" t="s">
        <v>160</v>
      </c>
      <c r="H182" s="231">
        <f>'BPU LOT 1'!H182</f>
        <v>38</v>
      </c>
      <c r="I182" s="270">
        <v>5</v>
      </c>
      <c r="J182" s="271">
        <f t="shared" si="19"/>
        <v>190</v>
      </c>
    </row>
    <row r="183" spans="1:10" x14ac:dyDescent="0.25">
      <c r="A183" s="467"/>
      <c r="B183" s="473"/>
      <c r="C183" s="468"/>
      <c r="D183" s="470"/>
      <c r="E183" s="470"/>
      <c r="F183" s="177" t="s">
        <v>26</v>
      </c>
      <c r="G183" s="172" t="s">
        <v>161</v>
      </c>
      <c r="H183" s="231">
        <f>'BPU LOT 1'!H183</f>
        <v>43</v>
      </c>
      <c r="I183" s="270">
        <v>5</v>
      </c>
      <c r="J183" s="271">
        <f t="shared" si="19"/>
        <v>215</v>
      </c>
    </row>
    <row r="184" spans="1:10" x14ac:dyDescent="0.25">
      <c r="A184" s="467"/>
      <c r="B184" s="473"/>
      <c r="C184" s="468"/>
      <c r="D184" s="470"/>
      <c r="E184" s="470"/>
      <c r="F184" s="177" t="s">
        <v>28</v>
      </c>
      <c r="G184" s="172" t="s">
        <v>162</v>
      </c>
      <c r="H184" s="231">
        <f>'BPU LOT 1'!H184</f>
        <v>49</v>
      </c>
      <c r="I184" s="270">
        <v>5</v>
      </c>
      <c r="J184" s="271">
        <f t="shared" si="19"/>
        <v>245</v>
      </c>
    </row>
    <row r="185" spans="1:10" x14ac:dyDescent="0.25">
      <c r="A185" s="467"/>
      <c r="B185" s="474"/>
      <c r="C185" s="468"/>
      <c r="D185" s="471"/>
      <c r="E185" s="471"/>
      <c r="F185" s="177" t="s">
        <v>29</v>
      </c>
      <c r="G185" s="172" t="s">
        <v>163</v>
      </c>
      <c r="H185" s="231">
        <f>'BPU LOT 1'!H185</f>
        <v>53</v>
      </c>
      <c r="I185" s="270">
        <v>5</v>
      </c>
      <c r="J185" s="271">
        <f t="shared" si="19"/>
        <v>265</v>
      </c>
    </row>
    <row r="186" spans="1:10" x14ac:dyDescent="0.25">
      <c r="A186" s="233"/>
      <c r="I186" s="297"/>
      <c r="J186" s="301"/>
    </row>
    <row r="187" spans="1:10" x14ac:dyDescent="0.25">
      <c r="A187" s="475" t="s">
        <v>72</v>
      </c>
      <c r="B187" s="476"/>
      <c r="C187" s="476"/>
      <c r="D187" s="476"/>
      <c r="E187" s="476"/>
      <c r="F187" s="476"/>
      <c r="G187" s="257"/>
      <c r="H187" s="257"/>
      <c r="I187" s="297"/>
      <c r="J187" s="301"/>
    </row>
    <row r="188" spans="1:10" ht="12.5" x14ac:dyDescent="0.25">
      <c r="A188" s="291"/>
      <c r="B188" s="258"/>
      <c r="C188" s="258"/>
      <c r="D188" s="258"/>
      <c r="E188" s="258"/>
      <c r="F188" s="258"/>
      <c r="G188" s="258"/>
      <c r="H188" s="258"/>
      <c r="I188" s="297"/>
      <c r="J188" s="301"/>
    </row>
    <row r="189" spans="1:10" ht="12.75" customHeight="1" x14ac:dyDescent="0.25">
      <c r="A189" s="477" t="s">
        <v>5</v>
      </c>
      <c r="B189" s="176"/>
      <c r="C189" s="479" t="s">
        <v>0</v>
      </c>
      <c r="D189" s="176"/>
      <c r="E189" s="479" t="s">
        <v>1</v>
      </c>
      <c r="F189" s="481" t="s">
        <v>31</v>
      </c>
      <c r="G189" s="482"/>
      <c r="H189" s="482"/>
      <c r="I189" s="297"/>
      <c r="J189" s="301"/>
    </row>
    <row r="190" spans="1:10" ht="25" x14ac:dyDescent="0.25">
      <c r="A190" s="478"/>
      <c r="B190" s="175" t="s">
        <v>173</v>
      </c>
      <c r="C190" s="480"/>
      <c r="D190" s="175"/>
      <c r="E190" s="480"/>
      <c r="F190" s="174" t="s">
        <v>32</v>
      </c>
      <c r="G190" s="174" t="s">
        <v>14</v>
      </c>
      <c r="H190" s="259" t="s">
        <v>17</v>
      </c>
      <c r="I190" s="278" t="s">
        <v>232</v>
      </c>
      <c r="J190" s="173" t="s">
        <v>230</v>
      </c>
    </row>
    <row r="191" spans="1:10" ht="12.75" customHeight="1" x14ac:dyDescent="0.25">
      <c r="A191" s="284"/>
      <c r="B191" s="260"/>
      <c r="C191" s="258"/>
      <c r="D191" s="258"/>
      <c r="E191" s="258"/>
      <c r="F191" s="258"/>
      <c r="G191" s="292"/>
      <c r="H191" s="260"/>
      <c r="I191" s="297"/>
      <c r="J191" s="301"/>
    </row>
    <row r="192" spans="1:10" x14ac:dyDescent="0.25">
      <c r="A192" s="293">
        <v>51</v>
      </c>
      <c r="B192" s="169" t="s">
        <v>218</v>
      </c>
      <c r="C192" s="168" t="s">
        <v>71</v>
      </c>
      <c r="D192" s="167"/>
      <c r="E192" s="461" t="s">
        <v>83</v>
      </c>
      <c r="F192" s="462"/>
      <c r="G192" s="172" t="s">
        <v>164</v>
      </c>
      <c r="H192" s="246">
        <f>'BPU LOT 1'!H192</f>
        <v>13</v>
      </c>
      <c r="I192" s="270">
        <v>40</v>
      </c>
      <c r="J192" s="271">
        <f t="shared" ref="J192" si="20">I192*H192</f>
        <v>520</v>
      </c>
    </row>
    <row r="193" spans="1:13" ht="15" customHeight="1" x14ac:dyDescent="0.25">
      <c r="A193" s="233"/>
      <c r="I193" s="297"/>
      <c r="J193" s="301"/>
    </row>
    <row r="194" spans="1:13" x14ac:dyDescent="0.25">
      <c r="A194" s="465" t="s">
        <v>183</v>
      </c>
      <c r="B194" s="466"/>
      <c r="C194" s="466"/>
      <c r="D194" s="466"/>
      <c r="E194" s="466"/>
      <c r="F194" s="466"/>
      <c r="G194" s="261"/>
      <c r="H194" s="261"/>
      <c r="I194" s="297"/>
      <c r="J194" s="301"/>
      <c r="M194" s="160"/>
    </row>
    <row r="195" spans="1:13" ht="12.5" x14ac:dyDescent="0.25">
      <c r="A195" s="291"/>
      <c r="B195" s="258"/>
      <c r="C195" s="258"/>
      <c r="D195" s="258"/>
      <c r="E195" s="258"/>
      <c r="F195" s="258"/>
      <c r="G195" s="258"/>
      <c r="H195" s="258"/>
      <c r="I195" s="297"/>
      <c r="J195" s="301"/>
    </row>
    <row r="196" spans="1:13" x14ac:dyDescent="0.25">
      <c r="A196" s="446" t="s">
        <v>5</v>
      </c>
      <c r="B196" s="161"/>
      <c r="C196" s="448" t="s">
        <v>0</v>
      </c>
      <c r="D196" s="161"/>
      <c r="E196" s="448" t="s">
        <v>1</v>
      </c>
      <c r="F196" s="450" t="s">
        <v>31</v>
      </c>
      <c r="G196" s="451"/>
      <c r="H196" s="451"/>
      <c r="I196" s="297"/>
      <c r="J196" s="301"/>
      <c r="K196" s="160"/>
    </row>
    <row r="197" spans="1:13" ht="25" x14ac:dyDescent="0.25">
      <c r="A197" s="447"/>
      <c r="B197" s="159" t="s">
        <v>173</v>
      </c>
      <c r="C197" s="449"/>
      <c r="D197" s="159"/>
      <c r="E197" s="449"/>
      <c r="F197" s="158" t="s">
        <v>32</v>
      </c>
      <c r="G197" s="158" t="s">
        <v>14</v>
      </c>
      <c r="H197" s="262" t="s">
        <v>17</v>
      </c>
      <c r="I197" s="279" t="s">
        <v>232</v>
      </c>
      <c r="J197" s="157" t="s">
        <v>230</v>
      </c>
    </row>
    <row r="198" spans="1:13" ht="12.75" customHeight="1" x14ac:dyDescent="0.25">
      <c r="A198" s="284"/>
      <c r="B198" s="260"/>
      <c r="C198" s="258"/>
      <c r="D198" s="258"/>
      <c r="E198" s="258"/>
      <c r="F198" s="258"/>
      <c r="G198" s="292"/>
      <c r="H198" s="260"/>
      <c r="I198" s="297"/>
      <c r="J198" s="301"/>
    </row>
    <row r="199" spans="1:13" ht="25" customHeight="1" x14ac:dyDescent="0.25">
      <c r="A199" s="293">
        <v>48</v>
      </c>
      <c r="B199" s="169" t="s">
        <v>219</v>
      </c>
      <c r="C199" s="168" t="s">
        <v>73</v>
      </c>
      <c r="D199" s="167"/>
      <c r="E199" s="461" t="s">
        <v>70</v>
      </c>
      <c r="F199" s="462"/>
      <c r="G199" s="170" t="s">
        <v>165</v>
      </c>
      <c r="H199" s="245">
        <f>'BPU LOT 1'!H199</f>
        <v>38</v>
      </c>
      <c r="I199" s="270">
        <v>60</v>
      </c>
      <c r="J199" s="271">
        <f t="shared" ref="J199:J201" si="21">I199*H199</f>
        <v>2280</v>
      </c>
    </row>
    <row r="200" spans="1:13" ht="25" customHeight="1" x14ac:dyDescent="0.25">
      <c r="A200" s="293">
        <v>49</v>
      </c>
      <c r="B200" s="169" t="s">
        <v>219</v>
      </c>
      <c r="C200" s="168" t="s">
        <v>74</v>
      </c>
      <c r="D200" s="167"/>
      <c r="E200" s="461" t="s">
        <v>70</v>
      </c>
      <c r="F200" s="462"/>
      <c r="G200" s="166" t="s">
        <v>166</v>
      </c>
      <c r="H200" s="245">
        <f>'BPU LOT 1'!H200</f>
        <v>48</v>
      </c>
      <c r="I200" s="270">
        <v>75</v>
      </c>
      <c r="J200" s="271">
        <f t="shared" si="21"/>
        <v>3600</v>
      </c>
    </row>
    <row r="201" spans="1:13" ht="25" customHeight="1" thickBot="1" x14ac:dyDescent="0.3">
      <c r="A201" s="294">
        <v>50</v>
      </c>
      <c r="B201" s="165" t="s">
        <v>219</v>
      </c>
      <c r="C201" s="164" t="s">
        <v>75</v>
      </c>
      <c r="D201" s="163"/>
      <c r="E201" s="463" t="s">
        <v>70</v>
      </c>
      <c r="F201" s="464"/>
      <c r="G201" s="162" t="s">
        <v>167</v>
      </c>
      <c r="H201" s="245">
        <f>'BPU LOT 1'!H201</f>
        <v>70</v>
      </c>
      <c r="I201" s="270">
        <v>45</v>
      </c>
      <c r="J201" s="271">
        <f t="shared" si="21"/>
        <v>3150</v>
      </c>
    </row>
    <row r="202" spans="1:13" x14ac:dyDescent="0.25">
      <c r="A202" s="233"/>
      <c r="G202" s="295"/>
      <c r="H202" s="152"/>
      <c r="I202" s="297"/>
      <c r="J202" s="301"/>
    </row>
    <row r="203" spans="1:13" ht="12.75" customHeight="1" x14ac:dyDescent="0.25">
      <c r="A203" s="444" t="s">
        <v>194</v>
      </c>
      <c r="B203" s="445"/>
      <c r="C203" s="445"/>
      <c r="D203" s="445"/>
      <c r="E203" s="445"/>
      <c r="F203" s="445"/>
      <c r="G203" s="445"/>
      <c r="H203" s="150"/>
      <c r="I203" s="297"/>
      <c r="J203" s="301"/>
    </row>
    <row r="204" spans="1:13" x14ac:dyDescent="0.25">
      <c r="A204" s="446" t="s">
        <v>5</v>
      </c>
      <c r="B204" s="161"/>
      <c r="C204" s="448" t="s">
        <v>0</v>
      </c>
      <c r="D204" s="161"/>
      <c r="E204" s="448" t="s">
        <v>1</v>
      </c>
      <c r="F204" s="450" t="s">
        <v>31</v>
      </c>
      <c r="G204" s="451"/>
      <c r="H204" s="451"/>
      <c r="I204" s="297"/>
      <c r="J204" s="301"/>
      <c r="K204" s="160"/>
    </row>
    <row r="205" spans="1:13" ht="25" x14ac:dyDescent="0.25">
      <c r="A205" s="447"/>
      <c r="B205" s="159" t="s">
        <v>173</v>
      </c>
      <c r="C205" s="449"/>
      <c r="D205" s="159"/>
      <c r="E205" s="449"/>
      <c r="F205" s="158" t="s">
        <v>236</v>
      </c>
      <c r="G205" s="158" t="s">
        <v>14</v>
      </c>
      <c r="H205" s="262" t="s">
        <v>17</v>
      </c>
      <c r="I205" s="279" t="s">
        <v>232</v>
      </c>
      <c r="J205" s="157" t="s">
        <v>230</v>
      </c>
    </row>
    <row r="206" spans="1:13" ht="41.25" customHeight="1" x14ac:dyDescent="0.25">
      <c r="A206" s="236" t="s">
        <v>185</v>
      </c>
      <c r="B206" s="153" t="s">
        <v>226</v>
      </c>
      <c r="C206" s="155" t="s">
        <v>229</v>
      </c>
      <c r="D206" s="155"/>
      <c r="E206" s="155" t="s">
        <v>195</v>
      </c>
      <c r="F206" s="156" t="s">
        <v>178</v>
      </c>
      <c r="G206" s="153" t="s">
        <v>185</v>
      </c>
      <c r="H206" s="250">
        <f>'BPU LOT 1'!H206</f>
        <v>15</v>
      </c>
      <c r="I206" s="297">
        <v>50</v>
      </c>
      <c r="J206" s="271">
        <f t="shared" ref="J206:J208" si="22">I206*H206</f>
        <v>750</v>
      </c>
    </row>
    <row r="207" spans="1:13" ht="27" customHeight="1" x14ac:dyDescent="0.25">
      <c r="A207" s="438" t="s">
        <v>185</v>
      </c>
      <c r="B207" s="440" t="s">
        <v>227</v>
      </c>
      <c r="C207" s="442" t="s">
        <v>197</v>
      </c>
      <c r="D207" s="442"/>
      <c r="E207" s="442" t="s">
        <v>196</v>
      </c>
      <c r="F207" s="154" t="s">
        <v>234</v>
      </c>
      <c r="G207" s="153" t="s">
        <v>185</v>
      </c>
      <c r="H207" s="250">
        <f>'BPU LOT 1'!H207</f>
        <v>148</v>
      </c>
      <c r="I207" s="297">
        <v>5</v>
      </c>
      <c r="J207" s="271">
        <f t="shared" si="22"/>
        <v>740</v>
      </c>
    </row>
    <row r="208" spans="1:13" ht="27" customHeight="1" thickBot="1" x14ac:dyDescent="0.3">
      <c r="A208" s="439"/>
      <c r="B208" s="441"/>
      <c r="C208" s="443"/>
      <c r="D208" s="443"/>
      <c r="E208" s="443"/>
      <c r="F208" s="235" t="s">
        <v>235</v>
      </c>
      <c r="G208" s="296" t="s">
        <v>185</v>
      </c>
      <c r="H208" s="250">
        <f>'BPU LOT 1'!H208</f>
        <v>158</v>
      </c>
      <c r="I208" s="298">
        <v>5</v>
      </c>
      <c r="J208" s="280">
        <f t="shared" si="22"/>
        <v>790</v>
      </c>
    </row>
    <row r="209" spans="5:10" ht="9" customHeight="1" thickBot="1" x14ac:dyDescent="0.3"/>
    <row r="210" spans="5:10" x14ac:dyDescent="0.25">
      <c r="E210" s="545" t="s">
        <v>237</v>
      </c>
      <c r="F210" s="546"/>
      <c r="G210" s="546"/>
      <c r="H210" s="546"/>
      <c r="I210" s="546"/>
      <c r="J210" s="551">
        <f>SUM(J9:J208)</f>
        <v>124947</v>
      </c>
    </row>
    <row r="211" spans="5:10" x14ac:dyDescent="0.25">
      <c r="E211" s="547"/>
      <c r="F211" s="548"/>
      <c r="G211" s="548"/>
      <c r="H211" s="548"/>
      <c r="I211" s="548"/>
      <c r="J211" s="552"/>
    </row>
    <row r="212" spans="5:10" ht="13.5" thickBot="1" x14ac:dyDescent="0.3">
      <c r="E212" s="549"/>
      <c r="F212" s="550"/>
      <c r="G212" s="550"/>
      <c r="H212" s="550"/>
      <c r="I212" s="550"/>
      <c r="J212" s="553"/>
    </row>
  </sheetData>
  <mergeCells count="213">
    <mergeCell ref="A2:J2"/>
    <mergeCell ref="A3:J3"/>
    <mergeCell ref="E210:I212"/>
    <mergeCell ref="J210:J212"/>
    <mergeCell ref="F17:H17"/>
    <mergeCell ref="B17:B18"/>
    <mergeCell ref="D17:D18"/>
    <mergeCell ref="A20:A24"/>
    <mergeCell ref="C20:C24"/>
    <mergeCell ref="E20:E24"/>
    <mergeCell ref="C6:C7"/>
    <mergeCell ref="E6:E7"/>
    <mergeCell ref="F6:H6"/>
    <mergeCell ref="D6:D7"/>
    <mergeCell ref="B6:B7"/>
    <mergeCell ref="C33:C34"/>
    <mergeCell ref="E33:E34"/>
    <mergeCell ref="F33:H33"/>
    <mergeCell ref="D29:D31"/>
    <mergeCell ref="D33:D34"/>
    <mergeCell ref="B33:B34"/>
    <mergeCell ref="B29:B31"/>
    <mergeCell ref="A36:A40"/>
    <mergeCell ref="C36:C40"/>
    <mergeCell ref="A1:C1"/>
    <mergeCell ref="A126:A128"/>
    <mergeCell ref="B126:B128"/>
    <mergeCell ref="C126:C128"/>
    <mergeCell ref="E126:E128"/>
    <mergeCell ref="A9:A13"/>
    <mergeCell ref="C9:C13"/>
    <mergeCell ref="E9:E13"/>
    <mergeCell ref="A15:H15"/>
    <mergeCell ref="D9:D13"/>
    <mergeCell ref="B9:B13"/>
    <mergeCell ref="D20:D24"/>
    <mergeCell ref="B20:B24"/>
    <mergeCell ref="D26:D27"/>
    <mergeCell ref="B26:B27"/>
    <mergeCell ref="A25:G25"/>
    <mergeCell ref="A17:A18"/>
    <mergeCell ref="C17:C18"/>
    <mergeCell ref="E17:E18"/>
    <mergeCell ref="A26:A27"/>
    <mergeCell ref="C26:C27"/>
    <mergeCell ref="E26:E27"/>
    <mergeCell ref="A4:H4"/>
    <mergeCell ref="A6:A7"/>
    <mergeCell ref="F26:H26"/>
    <mergeCell ref="A29:A31"/>
    <mergeCell ref="C29:C31"/>
    <mergeCell ref="E29:E31"/>
    <mergeCell ref="A33:A34"/>
    <mergeCell ref="C83:C84"/>
    <mergeCell ref="E83:E84"/>
    <mergeCell ref="E59:F59"/>
    <mergeCell ref="A63:H63"/>
    <mergeCell ref="A74:A75"/>
    <mergeCell ref="C74:C75"/>
    <mergeCell ref="E74:E75"/>
    <mergeCell ref="F74:H74"/>
    <mergeCell ref="D77:D81"/>
    <mergeCell ref="B77:B81"/>
    <mergeCell ref="A44:H44"/>
    <mergeCell ref="A46:H46"/>
    <mergeCell ref="E48:F48"/>
    <mergeCell ref="E51:F51"/>
    <mergeCell ref="E57:F57"/>
    <mergeCell ref="E61:F61"/>
    <mergeCell ref="D83:D84"/>
    <mergeCell ref="E36:E40"/>
    <mergeCell ref="D36:D40"/>
    <mergeCell ref="B36:B40"/>
    <mergeCell ref="F83:H83"/>
    <mergeCell ref="A86:A88"/>
    <mergeCell ref="C86:C88"/>
    <mergeCell ref="E86:E88"/>
    <mergeCell ref="B74:B75"/>
    <mergeCell ref="B65:B66"/>
    <mergeCell ref="C65:C66"/>
    <mergeCell ref="D65:D66"/>
    <mergeCell ref="A77:A81"/>
    <mergeCell ref="C77:C81"/>
    <mergeCell ref="E77:E81"/>
    <mergeCell ref="E65:E66"/>
    <mergeCell ref="F65:H65"/>
    <mergeCell ref="A68:A72"/>
    <mergeCell ref="B68:B72"/>
    <mergeCell ref="C68:C72"/>
    <mergeCell ref="D74:D75"/>
    <mergeCell ref="A90:A91"/>
    <mergeCell ref="C90:C91"/>
    <mergeCell ref="E90:E91"/>
    <mergeCell ref="F90:H90"/>
    <mergeCell ref="D86:D88"/>
    <mergeCell ref="D90:D91"/>
    <mergeCell ref="B86:B88"/>
    <mergeCell ref="B83:B84"/>
    <mergeCell ref="A83:A84"/>
    <mergeCell ref="E114:F114"/>
    <mergeCell ref="E116:F116"/>
    <mergeCell ref="D123:D125"/>
    <mergeCell ref="B123:B125"/>
    <mergeCell ref="A100:A102"/>
    <mergeCell ref="C100:C102"/>
    <mergeCell ref="A93:A97"/>
    <mergeCell ref="C93:C97"/>
    <mergeCell ref="E93:E97"/>
    <mergeCell ref="D93:D97"/>
    <mergeCell ref="B93:B97"/>
    <mergeCell ref="E100:E102"/>
    <mergeCell ref="A107:A112"/>
    <mergeCell ref="C107:C112"/>
    <mergeCell ref="E107:E112"/>
    <mergeCell ref="A118:H118"/>
    <mergeCell ref="A120:A121"/>
    <mergeCell ref="C120:C121"/>
    <mergeCell ref="E120:E121"/>
    <mergeCell ref="F120:H120"/>
    <mergeCell ref="A104:A105"/>
    <mergeCell ref="C104:C105"/>
    <mergeCell ref="E104:E105"/>
    <mergeCell ref="F142:H142"/>
    <mergeCell ref="B104:B105"/>
    <mergeCell ref="D126:D128"/>
    <mergeCell ref="D129:D131"/>
    <mergeCell ref="B107:B112"/>
    <mergeCell ref="A145:A149"/>
    <mergeCell ref="C145:C149"/>
    <mergeCell ref="E145:E149"/>
    <mergeCell ref="A134:H134"/>
    <mergeCell ref="A136:H136"/>
    <mergeCell ref="E138:F138"/>
    <mergeCell ref="E140:F140"/>
    <mergeCell ref="D145:D149"/>
    <mergeCell ref="B145:B149"/>
    <mergeCell ref="A142:A143"/>
    <mergeCell ref="A129:A131"/>
    <mergeCell ref="B129:B131"/>
    <mergeCell ref="C129:C131"/>
    <mergeCell ref="E129:E131"/>
    <mergeCell ref="A123:A125"/>
    <mergeCell ref="C123:C125"/>
    <mergeCell ref="E123:E125"/>
    <mergeCell ref="C142:C143"/>
    <mergeCell ref="E142:E143"/>
    <mergeCell ref="A151:A152"/>
    <mergeCell ref="C151:C152"/>
    <mergeCell ref="E151:E152"/>
    <mergeCell ref="F151:H151"/>
    <mergeCell ref="A154:A158"/>
    <mergeCell ref="C154:C158"/>
    <mergeCell ref="E154:E158"/>
    <mergeCell ref="D154:D158"/>
    <mergeCell ref="B154:B158"/>
    <mergeCell ref="D181:D185"/>
    <mergeCell ref="A160:H160"/>
    <mergeCell ref="E162:F162"/>
    <mergeCell ref="E164:F164"/>
    <mergeCell ref="A166:E166"/>
    <mergeCell ref="A168:A169"/>
    <mergeCell ref="C168:C169"/>
    <mergeCell ref="E168:E169"/>
    <mergeCell ref="F168:H168"/>
    <mergeCell ref="B168:B169"/>
    <mergeCell ref="E201:F201"/>
    <mergeCell ref="E192:F192"/>
    <mergeCell ref="A194:F194"/>
    <mergeCell ref="A196:A197"/>
    <mergeCell ref="C196:C197"/>
    <mergeCell ref="A175:A179"/>
    <mergeCell ref="C175:C179"/>
    <mergeCell ref="E175:E179"/>
    <mergeCell ref="D171:D173"/>
    <mergeCell ref="D175:D179"/>
    <mergeCell ref="B181:B185"/>
    <mergeCell ref="B175:B179"/>
    <mergeCell ref="A181:A185"/>
    <mergeCell ref="C181:C185"/>
    <mergeCell ref="E181:E185"/>
    <mergeCell ref="A187:F187"/>
    <mergeCell ref="A189:A190"/>
    <mergeCell ref="C189:C190"/>
    <mergeCell ref="E189:E190"/>
    <mergeCell ref="F189:H189"/>
    <mergeCell ref="A171:A173"/>
    <mergeCell ref="C171:C173"/>
    <mergeCell ref="E171:E173"/>
    <mergeCell ref="B171:B173"/>
    <mergeCell ref="D1:J1"/>
    <mergeCell ref="A207:A208"/>
    <mergeCell ref="B207:B208"/>
    <mergeCell ref="C207:C208"/>
    <mergeCell ref="D207:D208"/>
    <mergeCell ref="A203:G203"/>
    <mergeCell ref="E207:E208"/>
    <mergeCell ref="A204:A205"/>
    <mergeCell ref="C204:C205"/>
    <mergeCell ref="E204:E205"/>
    <mergeCell ref="F204:H204"/>
    <mergeCell ref="D68:D72"/>
    <mergeCell ref="E68:E72"/>
    <mergeCell ref="B100:B102"/>
    <mergeCell ref="F104:H104"/>
    <mergeCell ref="D100:D102"/>
    <mergeCell ref="D107:D112"/>
    <mergeCell ref="E196:E197"/>
    <mergeCell ref="F196:H196"/>
    <mergeCell ref="E53:F53"/>
    <mergeCell ref="E55:F55"/>
    <mergeCell ref="A65:A66"/>
    <mergeCell ref="E199:F199"/>
    <mergeCell ref="E200:F200"/>
  </mergeCells>
  <pageMargins left="0.19685039370078741" right="0.15748031496062992" top="0.51181102362204722" bottom="0.39370078740157483" header="0.15748031496062992" footer="0.15748031496062992"/>
  <pageSetup paperSize="9" scale="53" fitToHeight="0" orientation="portrait" r:id="rId1"/>
  <headerFooter alignWithMargins="0">
    <oddHeader>&amp;LMission de diagnostic Technique
Amiante, Plomb, HAP, Termites, ERP, DPE, EIE et EIG&amp;RAnnexe à l'acte d'engagement 
Bordereau des prix unitaires</oddHeader>
    <oddFooter>&amp;COPH D'AUBERVILLIERS&amp;R&amp;P/&amp;N</oddFooter>
  </headerFooter>
  <rowBreaks count="3" manualBreakCount="3">
    <brk id="98" max="9" man="1"/>
    <brk id="116" max="9" man="1"/>
    <brk id="16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705829-3d1c-4a2b-99cd-dab59a74f258" xsi:nil="true"/>
    <lcf76f155ced4ddcb4097134ff3c332f xmlns="297bece8-88b0-4fcd-829e-0224625d5c3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74381A5B72B74BA32FF64106DEAA6B" ma:contentTypeVersion="13" ma:contentTypeDescription="Crée un document." ma:contentTypeScope="" ma:versionID="3a3c93834e889b535031a3b75ce23b9e">
  <xsd:schema xmlns:xsd="http://www.w3.org/2001/XMLSchema" xmlns:xs="http://www.w3.org/2001/XMLSchema" xmlns:p="http://schemas.microsoft.com/office/2006/metadata/properties" xmlns:ns2="297bece8-88b0-4fcd-829e-0224625d5c37" xmlns:ns3="81705829-3d1c-4a2b-99cd-dab59a74f258" targetNamespace="http://schemas.microsoft.com/office/2006/metadata/properties" ma:root="true" ma:fieldsID="3bb124907bc12b87b7ba5eba973773f4" ns2:_="" ns3:_="">
    <xsd:import namespace="297bece8-88b0-4fcd-829e-0224625d5c37"/>
    <xsd:import namespace="81705829-3d1c-4a2b-99cd-dab59a74f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bece8-88b0-4fcd-829e-0224625d5c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ac356484-eb58-4e7a-aa94-dfcee7a44a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05829-3d1c-4a2b-99cd-dab59a74f2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edeb4fd-862a-4d6c-8e3f-8e88899ade6d}" ma:internalName="TaxCatchAll" ma:showField="CatchAllData" ma:web="81705829-3d1c-4a2b-99cd-dab59a74f2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4505A-BC65-4EDE-8736-AC83687703B0}">
  <ds:schemaRefs>
    <ds:schemaRef ds:uri="http://schemas.microsoft.com/office/2006/metadata/properties"/>
    <ds:schemaRef ds:uri="http://schemas.microsoft.com/office/infopath/2007/PartnerControls"/>
    <ds:schemaRef ds:uri="a2715f2d-0213-4719-bc26-fbd54316110e"/>
    <ds:schemaRef ds:uri="f03c9ef5-8a1d-4eb3-ad18-289736f8a279"/>
  </ds:schemaRefs>
</ds:datastoreItem>
</file>

<file path=customXml/itemProps2.xml><?xml version="1.0" encoding="utf-8"?>
<ds:datastoreItem xmlns:ds="http://schemas.openxmlformats.org/officeDocument/2006/customXml" ds:itemID="{0B6C382B-3069-42C8-939B-24C246E3E9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894F8D-03C9-4273-90CA-5347C9D9B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BPU LOT 1</vt:lpstr>
      <vt:lpstr>DQE LOT 1</vt:lpstr>
      <vt:lpstr>'BPU LOT 1'!Zone_d_impression</vt:lpstr>
      <vt:lpstr>'DQE LOT 1'!Zone_d_impression</vt:lpstr>
    </vt:vector>
  </TitlesOfParts>
  <Company>OPAC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OPAC</dc:creator>
  <cp:lastModifiedBy>Suren SHIRVANYAN</cp:lastModifiedBy>
  <cp:lastPrinted>2025-07-30T13:34:38Z</cp:lastPrinted>
  <dcterms:created xsi:type="dcterms:W3CDTF">2007-05-09T10:10:11Z</dcterms:created>
  <dcterms:modified xsi:type="dcterms:W3CDTF">2026-01-19T00:11:47Z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0x0101006774381A5B72B74BA32FF64106DEAA6B</vt:lpwstr>
  </property>
  <property fmtid="{D5CDD505-2E9C-101B-9397-08002B2CF9AE}" pid="3" name="MediaServiceImageTags">
    <vt:lpwstr/>
  </property>
</Properties>
</file>