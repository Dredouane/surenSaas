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ev0000.sharepoint.com/sites/AR-EV/Documents partages/AR-EV/ETUDES/ETUDES 2026/3 - Habitat 77/DCE 2025-10 modifié/"/>
    </mc:Choice>
  </mc:AlternateContent>
  <xr:revisionPtr revIDLastSave="35" documentId="8_{5A21255F-AD1D-45C9-A39C-998698A06157}" xr6:coauthVersionLast="47" xr6:coauthVersionMax="47" xr10:uidLastSave="{208932E5-4082-48FE-9738-B4B6D3026AF1}"/>
  <bookViews>
    <workbookView xWindow="-110" yWindow="-110" windowWidth="25820" windowHeight="15500" activeTab="2" xr2:uid="{66453882-F149-4712-B3F7-5BCA4E416D53}"/>
  </bookViews>
  <sheets>
    <sheet name="BPU Lot 1 Nord PVM GONDOIRE" sheetId="4" r:id="rId1"/>
    <sheet name="BPU Lot 2 Centre-SENART" sheetId="6" r:id="rId2"/>
    <sheet name="BPU Lot 3 Sud – MELUN VDS" sheetId="7" r:id="rId3"/>
  </sheets>
  <definedNames>
    <definedName name="_xlnm.Print_Area" localSheetId="0">'BPU Lot 1 Nord PVM GONDOIRE'!$A$1:$E$204</definedName>
    <definedName name="_xlnm.Print_Area" localSheetId="1">'BPU Lot 2 Centre-SENART'!$A$1:$E$204</definedName>
    <definedName name="_xlnm.Print_Area" localSheetId="2">'BPU Lot 3 Sud – MELUN VDS'!$A$1:$E$204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2" i="7" l="1"/>
  <c r="E191" i="7"/>
  <c r="E190" i="7"/>
  <c r="E189" i="7"/>
  <c r="E171" i="7"/>
  <c r="E170" i="7"/>
  <c r="E169" i="7"/>
  <c r="E168" i="7"/>
  <c r="E189" i="6"/>
  <c r="E192" i="6"/>
  <c r="E191" i="6"/>
  <c r="E190" i="6"/>
  <c r="E171" i="6"/>
  <c r="E170" i="6"/>
  <c r="E169" i="6"/>
  <c r="E168" i="6"/>
  <c r="E191" i="4"/>
  <c r="E190" i="4"/>
  <c r="E170" i="4"/>
  <c r="E169" i="4"/>
  <c r="E248" i="4"/>
  <c r="E16" i="4"/>
  <c r="E332" i="7"/>
  <c r="E331" i="7"/>
  <c r="E330" i="7"/>
  <c r="E326" i="7"/>
  <c r="E325" i="7"/>
  <c r="E324" i="7"/>
  <c r="E323" i="7"/>
  <c r="E322" i="7"/>
  <c r="E321" i="7"/>
  <c r="E320" i="7"/>
  <c r="E319" i="7"/>
  <c r="E318" i="7"/>
  <c r="E317" i="7"/>
  <c r="E316" i="7"/>
  <c r="E314" i="7"/>
  <c r="E313" i="7"/>
  <c r="E312" i="7"/>
  <c r="E311" i="7"/>
  <c r="E310" i="7"/>
  <c r="E307" i="7"/>
  <c r="E306" i="7"/>
  <c r="E304" i="7"/>
  <c r="E303" i="7"/>
  <c r="E302" i="7"/>
  <c r="E299" i="7"/>
  <c r="E297" i="7"/>
  <c r="E296" i="7"/>
  <c r="E295" i="7"/>
  <c r="E294" i="7"/>
  <c r="E291" i="7"/>
  <c r="E290" i="7"/>
  <c r="E289" i="7"/>
  <c r="E288" i="7"/>
  <c r="E287" i="7"/>
  <c r="E286" i="7"/>
  <c r="E285" i="7"/>
  <c r="E283" i="7"/>
  <c r="E282" i="7"/>
  <c r="E281" i="7"/>
  <c r="E280" i="7"/>
  <c r="E278" i="7"/>
  <c r="E276" i="7"/>
  <c r="E275" i="7"/>
  <c r="E274" i="7"/>
  <c r="E273" i="7"/>
  <c r="E271" i="7"/>
  <c r="E270" i="7"/>
  <c r="E269" i="7"/>
  <c r="E268" i="7"/>
  <c r="E266" i="7"/>
  <c r="E265" i="7"/>
  <c r="E264" i="7"/>
  <c r="E263" i="7"/>
  <c r="E260" i="7"/>
  <c r="E259" i="7"/>
  <c r="E258" i="7"/>
  <c r="E257" i="7"/>
  <c r="E256" i="7"/>
  <c r="E255" i="7"/>
  <c r="E254" i="7"/>
  <c r="E253" i="7"/>
  <c r="E251" i="7"/>
  <c r="E250" i="7"/>
  <c r="E249" i="7"/>
  <c r="E248" i="7"/>
  <c r="E245" i="7"/>
  <c r="E244" i="7"/>
  <c r="E242" i="7"/>
  <c r="E241" i="7"/>
  <c r="E240" i="7"/>
  <c r="E239" i="7"/>
  <c r="E238" i="7"/>
  <c r="E237" i="7"/>
  <c r="E236" i="7"/>
  <c r="E235" i="7"/>
  <c r="E234" i="7"/>
  <c r="E233" i="7"/>
  <c r="E231" i="7"/>
  <c r="E230" i="7"/>
  <c r="E229" i="7"/>
  <c r="E228" i="7"/>
  <c r="E227" i="7"/>
  <c r="E226" i="7"/>
  <c r="E224" i="7"/>
  <c r="E223" i="7"/>
  <c r="E222" i="7"/>
  <c r="E221" i="7"/>
  <c r="E220" i="7"/>
  <c r="E219" i="7"/>
  <c r="E218" i="7"/>
  <c r="E217" i="7"/>
  <c r="E215" i="7"/>
  <c r="E214" i="7"/>
  <c r="E213" i="7"/>
  <c r="E212" i="7"/>
  <c r="E211" i="7"/>
  <c r="E210" i="7"/>
  <c r="E208" i="7"/>
  <c r="E207" i="7"/>
  <c r="E206" i="7"/>
  <c r="E205" i="7"/>
  <c r="E204" i="7"/>
  <c r="E203" i="7"/>
  <c r="E201" i="7"/>
  <c r="E200" i="7"/>
  <c r="E199" i="7"/>
  <c r="E198" i="7"/>
  <c r="E197" i="7"/>
  <c r="E196" i="7"/>
  <c r="E187" i="7"/>
  <c r="E186" i="7"/>
  <c r="E185" i="7"/>
  <c r="E184" i="7"/>
  <c r="E183" i="7"/>
  <c r="E182" i="7"/>
  <c r="E180" i="7"/>
  <c r="E179" i="7"/>
  <c r="E178" i="7"/>
  <c r="E177" i="7"/>
  <c r="E176" i="7"/>
  <c r="E175" i="7"/>
  <c r="E166" i="7"/>
  <c r="E165" i="7"/>
  <c r="E164" i="7"/>
  <c r="E163" i="7"/>
  <c r="E162" i="7"/>
  <c r="E161" i="7"/>
  <c r="E159" i="7"/>
  <c r="E158" i="7"/>
  <c r="E157" i="7"/>
  <c r="E156" i="7"/>
  <c r="E155" i="7"/>
  <c r="E154" i="7"/>
  <c r="E149" i="7"/>
  <c r="E148" i="7"/>
  <c r="E147" i="7"/>
  <c r="E146" i="7"/>
  <c r="E144" i="7"/>
  <c r="E143" i="7"/>
  <c r="E142" i="7"/>
  <c r="E141" i="7"/>
  <c r="E137" i="7"/>
  <c r="E136" i="7"/>
  <c r="E135" i="7"/>
  <c r="E134" i="7"/>
  <c r="E132" i="7"/>
  <c r="E131" i="7"/>
  <c r="E130" i="7"/>
  <c r="E129" i="7"/>
  <c r="E125" i="7"/>
  <c r="E124" i="7"/>
  <c r="E123" i="7"/>
  <c r="E121" i="7"/>
  <c r="E120" i="7"/>
  <c r="E119" i="7"/>
  <c r="E118" i="7"/>
  <c r="E117" i="7"/>
  <c r="E116" i="7"/>
  <c r="E112" i="7"/>
  <c r="E109" i="7"/>
  <c r="E108" i="7"/>
  <c r="E107" i="7"/>
  <c r="E106" i="7"/>
  <c r="E105" i="7"/>
  <c r="E103" i="7"/>
  <c r="E102" i="7"/>
  <c r="E101" i="7"/>
  <c r="E100" i="7"/>
  <c r="E99" i="7"/>
  <c r="E98" i="7"/>
  <c r="E94" i="7"/>
  <c r="E93" i="7"/>
  <c r="E92" i="7"/>
  <c r="E91" i="7"/>
  <c r="E90" i="7"/>
  <c r="E88" i="7"/>
  <c r="E87" i="7"/>
  <c r="E86" i="7"/>
  <c r="E85" i="7"/>
  <c r="E84" i="7"/>
  <c r="E83" i="7"/>
  <c r="E79" i="7"/>
  <c r="E78" i="7"/>
  <c r="E77" i="7"/>
  <c r="E76" i="7"/>
  <c r="E75" i="7"/>
  <c r="E73" i="7"/>
  <c r="E72" i="7"/>
  <c r="E71" i="7"/>
  <c r="E70" i="7"/>
  <c r="E69" i="7"/>
  <c r="E68" i="7"/>
  <c r="E64" i="7"/>
  <c r="E63" i="7"/>
  <c r="E62" i="7"/>
  <c r="E61" i="7"/>
  <c r="E60" i="7"/>
  <c r="E58" i="7"/>
  <c r="E57" i="7"/>
  <c r="E56" i="7"/>
  <c r="E55" i="7"/>
  <c r="E54" i="7"/>
  <c r="E53" i="7"/>
  <c r="E48" i="7"/>
  <c r="E47" i="7"/>
  <c r="E46" i="7"/>
  <c r="E45" i="7"/>
  <c r="E44" i="7"/>
  <c r="E42" i="7"/>
  <c r="E41" i="7"/>
  <c r="E40" i="7"/>
  <c r="E39" i="7"/>
  <c r="E38" i="7"/>
  <c r="E35" i="7"/>
  <c r="E33" i="7"/>
  <c r="E32" i="7"/>
  <c r="E31" i="7"/>
  <c r="E30" i="7"/>
  <c r="E29" i="7"/>
  <c r="E27" i="7"/>
  <c r="E26" i="7"/>
  <c r="E25" i="7"/>
  <c r="E24" i="7"/>
  <c r="E23" i="7"/>
  <c r="E21" i="7"/>
  <c r="E20" i="7"/>
  <c r="E19" i="7"/>
  <c r="E18" i="7"/>
  <c r="E17" i="7"/>
  <c r="E16" i="7"/>
  <c r="E330" i="6"/>
  <c r="E332" i="6"/>
  <c r="E331" i="6"/>
  <c r="E326" i="6"/>
  <c r="E325" i="6"/>
  <c r="E324" i="6"/>
  <c r="E323" i="6"/>
  <c r="E322" i="6"/>
  <c r="E321" i="6"/>
  <c r="E320" i="6"/>
  <c r="E319" i="6"/>
  <c r="E318" i="6"/>
  <c r="E317" i="6"/>
  <c r="E316" i="6"/>
  <c r="E314" i="6"/>
  <c r="E313" i="6"/>
  <c r="E312" i="6"/>
  <c r="E311" i="6"/>
  <c r="E310" i="6"/>
  <c r="E307" i="6"/>
  <c r="E306" i="6"/>
  <c r="E304" i="6"/>
  <c r="E303" i="6"/>
  <c r="E302" i="6"/>
  <c r="E299" i="6"/>
  <c r="E297" i="6"/>
  <c r="E296" i="6"/>
  <c r="E295" i="6"/>
  <c r="E294" i="6"/>
  <c r="E291" i="6"/>
  <c r="E290" i="6"/>
  <c r="E289" i="6"/>
  <c r="E288" i="6"/>
  <c r="E287" i="6"/>
  <c r="E286" i="6"/>
  <c r="E285" i="6"/>
  <c r="E283" i="6"/>
  <c r="E282" i="6"/>
  <c r="E281" i="6"/>
  <c r="E280" i="6"/>
  <c r="E278" i="6"/>
  <c r="E276" i="6"/>
  <c r="E275" i="6"/>
  <c r="E274" i="6"/>
  <c r="E273" i="6"/>
  <c r="E271" i="6"/>
  <c r="E270" i="6"/>
  <c r="E269" i="6"/>
  <c r="E268" i="6"/>
  <c r="E266" i="6"/>
  <c r="E265" i="6"/>
  <c r="E264" i="6"/>
  <c r="E263" i="6"/>
  <c r="E260" i="6"/>
  <c r="E259" i="6"/>
  <c r="E258" i="6"/>
  <c r="E257" i="6"/>
  <c r="E256" i="6"/>
  <c r="E255" i="6"/>
  <c r="E254" i="6"/>
  <c r="E253" i="6"/>
  <c r="E251" i="6"/>
  <c r="E250" i="6"/>
  <c r="E249" i="6"/>
  <c r="E248" i="6"/>
  <c r="E245" i="6"/>
  <c r="E244" i="6"/>
  <c r="E242" i="6"/>
  <c r="E241" i="6"/>
  <c r="E240" i="6"/>
  <c r="E239" i="6"/>
  <c r="E238" i="6"/>
  <c r="E237" i="6"/>
  <c r="E236" i="6"/>
  <c r="E235" i="6"/>
  <c r="E234" i="6"/>
  <c r="E233" i="6"/>
  <c r="E231" i="6"/>
  <c r="E230" i="6"/>
  <c r="E229" i="6"/>
  <c r="E228" i="6"/>
  <c r="E227" i="6"/>
  <c r="E226" i="6"/>
  <c r="E224" i="6"/>
  <c r="E223" i="6"/>
  <c r="E222" i="6"/>
  <c r="E221" i="6"/>
  <c r="E220" i="6"/>
  <c r="E219" i="6"/>
  <c r="E218" i="6"/>
  <c r="E217" i="6"/>
  <c r="E215" i="6"/>
  <c r="E214" i="6"/>
  <c r="E213" i="6"/>
  <c r="E212" i="6"/>
  <c r="E211" i="6"/>
  <c r="E210" i="6"/>
  <c r="E208" i="6"/>
  <c r="E207" i="6"/>
  <c r="E206" i="6"/>
  <c r="E205" i="6"/>
  <c r="E204" i="6"/>
  <c r="E203" i="6"/>
  <c r="E201" i="6"/>
  <c r="E200" i="6"/>
  <c r="E199" i="6"/>
  <c r="E198" i="6"/>
  <c r="E197" i="6"/>
  <c r="E196" i="6"/>
  <c r="E187" i="6"/>
  <c r="E186" i="6"/>
  <c r="E185" i="6"/>
  <c r="E184" i="6"/>
  <c r="E183" i="6"/>
  <c r="E182" i="6"/>
  <c r="E180" i="6"/>
  <c r="E179" i="6"/>
  <c r="E178" i="6"/>
  <c r="E177" i="6"/>
  <c r="E176" i="6"/>
  <c r="E175" i="6"/>
  <c r="E166" i="6"/>
  <c r="E165" i="6"/>
  <c r="E164" i="6"/>
  <c r="E163" i="6"/>
  <c r="E162" i="6"/>
  <c r="E161" i="6"/>
  <c r="E159" i="6"/>
  <c r="E158" i="6"/>
  <c r="E157" i="6"/>
  <c r="E156" i="6"/>
  <c r="E155" i="6"/>
  <c r="E154" i="6"/>
  <c r="E149" i="6"/>
  <c r="E148" i="6"/>
  <c r="E147" i="6"/>
  <c r="E146" i="6"/>
  <c r="E144" i="6"/>
  <c r="E143" i="6"/>
  <c r="E142" i="6"/>
  <c r="E141" i="6"/>
  <c r="E137" i="6"/>
  <c r="E136" i="6"/>
  <c r="E135" i="6"/>
  <c r="E134" i="6"/>
  <c r="E132" i="6"/>
  <c r="E131" i="6"/>
  <c r="E130" i="6"/>
  <c r="E129" i="6"/>
  <c r="E125" i="6"/>
  <c r="E124" i="6"/>
  <c r="E123" i="6"/>
  <c r="E121" i="6"/>
  <c r="E120" i="6"/>
  <c r="E119" i="6"/>
  <c r="E118" i="6"/>
  <c r="E117" i="6"/>
  <c r="E116" i="6"/>
  <c r="E112" i="6"/>
  <c r="E109" i="6"/>
  <c r="E108" i="6"/>
  <c r="E107" i="6"/>
  <c r="E106" i="6"/>
  <c r="E105" i="6"/>
  <c r="E103" i="6"/>
  <c r="E102" i="6"/>
  <c r="E101" i="6"/>
  <c r="E100" i="6"/>
  <c r="E99" i="6"/>
  <c r="E98" i="6"/>
  <c r="E94" i="6"/>
  <c r="E93" i="6"/>
  <c r="E92" i="6"/>
  <c r="E91" i="6"/>
  <c r="E90" i="6"/>
  <c r="E88" i="6"/>
  <c r="E87" i="6"/>
  <c r="E86" i="6"/>
  <c r="E85" i="6"/>
  <c r="E84" i="6"/>
  <c r="E83" i="6"/>
  <c r="E79" i="6"/>
  <c r="E78" i="6"/>
  <c r="E77" i="6"/>
  <c r="E76" i="6"/>
  <c r="E75" i="6"/>
  <c r="E73" i="6"/>
  <c r="E72" i="6"/>
  <c r="E71" i="6"/>
  <c r="E70" i="6"/>
  <c r="E69" i="6"/>
  <c r="E68" i="6"/>
  <c r="E64" i="6"/>
  <c r="E63" i="6"/>
  <c r="E62" i="6"/>
  <c r="E61" i="6"/>
  <c r="E60" i="6"/>
  <c r="E58" i="6"/>
  <c r="E57" i="6"/>
  <c r="E56" i="6"/>
  <c r="E55" i="6"/>
  <c r="E54" i="6"/>
  <c r="E53" i="6"/>
  <c r="E48" i="6"/>
  <c r="E47" i="6"/>
  <c r="E46" i="6"/>
  <c r="E45" i="6"/>
  <c r="E44" i="6"/>
  <c r="E42" i="6"/>
  <c r="E41" i="6"/>
  <c r="E40" i="6"/>
  <c r="E39" i="6"/>
  <c r="E38" i="6"/>
  <c r="E35" i="6"/>
  <c r="E33" i="6"/>
  <c r="E32" i="6"/>
  <c r="E31" i="6"/>
  <c r="E30" i="6"/>
  <c r="E29" i="6"/>
  <c r="E27" i="6"/>
  <c r="E26" i="6"/>
  <c r="E25" i="6"/>
  <c r="E24" i="6"/>
  <c r="E23" i="6"/>
  <c r="E21" i="6"/>
  <c r="E20" i="6"/>
  <c r="E19" i="6"/>
  <c r="E18" i="6"/>
  <c r="E17" i="6"/>
  <c r="E16" i="6"/>
  <c r="E331" i="4"/>
  <c r="E332" i="4"/>
  <c r="E330" i="4"/>
  <c r="E317" i="4"/>
  <c r="E318" i="4"/>
  <c r="E319" i="4"/>
  <c r="E320" i="4"/>
  <c r="E321" i="4"/>
  <c r="E322" i="4"/>
  <c r="E323" i="4"/>
  <c r="E324" i="4"/>
  <c r="E325" i="4"/>
  <c r="E326" i="4"/>
  <c r="E316" i="4"/>
  <c r="E311" i="4"/>
  <c r="E312" i="4"/>
  <c r="E313" i="4"/>
  <c r="E314" i="4"/>
  <c r="E310" i="4"/>
  <c r="E307" i="4"/>
  <c r="E306" i="4"/>
  <c r="E303" i="4"/>
  <c r="E304" i="4"/>
  <c r="E302" i="4"/>
  <c r="E299" i="4"/>
  <c r="E295" i="4"/>
  <c r="E296" i="4"/>
  <c r="E297" i="4"/>
  <c r="E294" i="4"/>
  <c r="E286" i="4"/>
  <c r="E287" i="4"/>
  <c r="E288" i="4"/>
  <c r="E289" i="4"/>
  <c r="E290" i="4"/>
  <c r="E291" i="4"/>
  <c r="E285" i="4"/>
  <c r="E281" i="4"/>
  <c r="E282" i="4"/>
  <c r="E283" i="4"/>
  <c r="E280" i="4"/>
  <c r="E278" i="4"/>
  <c r="E274" i="4"/>
  <c r="E275" i="4"/>
  <c r="E276" i="4"/>
  <c r="E273" i="4"/>
  <c r="E269" i="4"/>
  <c r="E270" i="4"/>
  <c r="E271" i="4"/>
  <c r="E268" i="4"/>
  <c r="E264" i="4"/>
  <c r="E265" i="4"/>
  <c r="E266" i="4"/>
  <c r="E263" i="4"/>
  <c r="E254" i="4"/>
  <c r="E255" i="4"/>
  <c r="E256" i="4"/>
  <c r="E257" i="4"/>
  <c r="E258" i="4"/>
  <c r="E259" i="4"/>
  <c r="E260" i="4"/>
  <c r="E253" i="4"/>
  <c r="E249" i="4"/>
  <c r="E250" i="4"/>
  <c r="E251" i="4"/>
  <c r="E245" i="4"/>
  <c r="E244" i="4"/>
  <c r="E234" i="4"/>
  <c r="E235" i="4"/>
  <c r="E236" i="4"/>
  <c r="E237" i="4"/>
  <c r="E238" i="4"/>
  <c r="E239" i="4"/>
  <c r="E240" i="4"/>
  <c r="E241" i="4"/>
  <c r="E242" i="4"/>
  <c r="E233" i="4"/>
  <c r="E227" i="4"/>
  <c r="E228" i="4"/>
  <c r="E229" i="4"/>
  <c r="E230" i="4"/>
  <c r="E231" i="4"/>
  <c r="E226" i="4"/>
  <c r="E218" i="4"/>
  <c r="E219" i="4"/>
  <c r="E220" i="4"/>
  <c r="E221" i="4"/>
  <c r="E222" i="4"/>
  <c r="E223" i="4"/>
  <c r="E224" i="4"/>
  <c r="E217" i="4"/>
  <c r="E196" i="4"/>
  <c r="E192" i="4"/>
  <c r="E189" i="4"/>
  <c r="E175" i="4"/>
  <c r="E171" i="4"/>
  <c r="E168" i="4"/>
  <c r="E90" i="4"/>
  <c r="E84" i="4"/>
  <c r="E85" i="4"/>
  <c r="E86" i="4"/>
  <c r="E87" i="4"/>
  <c r="E88" i="4"/>
  <c r="E83" i="4"/>
  <c r="E76" i="4"/>
  <c r="E77" i="4"/>
  <c r="E78" i="4"/>
  <c r="E79" i="4"/>
  <c r="E75" i="4"/>
  <c r="E69" i="4"/>
  <c r="E70" i="4"/>
  <c r="E71" i="4"/>
  <c r="E72" i="4"/>
  <c r="E73" i="4"/>
  <c r="E68" i="4"/>
  <c r="E61" i="4"/>
  <c r="E62" i="4"/>
  <c r="E63" i="4"/>
  <c r="E64" i="4"/>
  <c r="E60" i="4"/>
  <c r="E54" i="4"/>
  <c r="E55" i="4"/>
  <c r="E56" i="4"/>
  <c r="E57" i="4"/>
  <c r="E58" i="4"/>
  <c r="E53" i="4"/>
  <c r="E45" i="4"/>
  <c r="E46" i="4"/>
  <c r="E47" i="4"/>
  <c r="E48" i="4"/>
  <c r="E44" i="4"/>
  <c r="E39" i="4"/>
  <c r="E40" i="4"/>
  <c r="E41" i="4"/>
  <c r="E42" i="4"/>
  <c r="E38" i="4"/>
  <c r="E35" i="4"/>
  <c r="E30" i="4"/>
  <c r="E31" i="4"/>
  <c r="E32" i="4"/>
  <c r="E33" i="4"/>
  <c r="E29" i="4"/>
  <c r="E24" i="4"/>
  <c r="E25" i="4"/>
  <c r="E26" i="4"/>
  <c r="E27" i="4"/>
  <c r="E23" i="4"/>
  <c r="E21" i="4"/>
  <c r="E17" i="4"/>
  <c r="E18" i="4"/>
  <c r="E19" i="4"/>
  <c r="E20" i="4"/>
  <c r="E166" i="4"/>
  <c r="E165" i="4"/>
  <c r="E164" i="4"/>
  <c r="E163" i="4"/>
  <c r="E162" i="4"/>
  <c r="E161" i="4"/>
  <c r="E159" i="4"/>
  <c r="E158" i="4"/>
  <c r="E157" i="4"/>
  <c r="E156" i="4"/>
  <c r="E155" i="4"/>
  <c r="E154" i="4"/>
  <c r="E187" i="4"/>
  <c r="E186" i="4"/>
  <c r="E185" i="4"/>
  <c r="E184" i="4"/>
  <c r="E183" i="4"/>
  <c r="E182" i="4"/>
  <c r="E180" i="4"/>
  <c r="E179" i="4"/>
  <c r="E178" i="4"/>
  <c r="E177" i="4"/>
  <c r="E176" i="4"/>
  <c r="E215" i="4"/>
  <c r="E214" i="4"/>
  <c r="E213" i="4"/>
  <c r="E212" i="4"/>
  <c r="E211" i="4"/>
  <c r="E210" i="4"/>
  <c r="E208" i="4"/>
  <c r="E207" i="4"/>
  <c r="E206" i="4"/>
  <c r="E205" i="4"/>
  <c r="E204" i="4"/>
  <c r="E203" i="4"/>
  <c r="E201" i="4"/>
  <c r="E200" i="4"/>
  <c r="E199" i="4"/>
  <c r="E198" i="4"/>
  <c r="E197" i="4"/>
  <c r="E106" i="4"/>
  <c r="E107" i="4"/>
  <c r="E108" i="4"/>
  <c r="E109" i="4"/>
  <c r="E105" i="4"/>
  <c r="E99" i="4"/>
  <c r="E100" i="4"/>
  <c r="E101" i="4"/>
  <c r="E102" i="4"/>
  <c r="E103" i="4"/>
  <c r="E98" i="4"/>
  <c r="E91" i="4"/>
  <c r="E92" i="4"/>
  <c r="E93" i="4"/>
  <c r="E94" i="4"/>
  <c r="E149" i="4"/>
  <c r="E148" i="4"/>
  <c r="E147" i="4"/>
  <c r="E146" i="4"/>
  <c r="E144" i="4"/>
  <c r="E143" i="4"/>
  <c r="E142" i="4"/>
  <c r="E141" i="4"/>
  <c r="E137" i="4"/>
  <c r="E136" i="4"/>
  <c r="E135" i="4"/>
  <c r="E134" i="4"/>
  <c r="E132" i="4"/>
  <c r="E131" i="4"/>
  <c r="E130" i="4"/>
  <c r="E129" i="4"/>
  <c r="E125" i="4"/>
  <c r="E124" i="4"/>
  <c r="E123" i="4"/>
  <c r="E121" i="4"/>
  <c r="E120" i="4"/>
  <c r="E119" i="4"/>
  <c r="E118" i="4"/>
  <c r="E117" i="4"/>
  <c r="E116" i="4"/>
  <c r="E112" i="4"/>
  <c r="E333" i="4" l="1"/>
  <c r="E333" i="7"/>
  <c r="E333" i="6"/>
</calcChain>
</file>

<file path=xl/sharedStrings.xml><?xml version="1.0" encoding="utf-8"?>
<sst xmlns="http://schemas.openxmlformats.org/spreadsheetml/2006/main" count="1689" uniqueCount="405">
  <si>
    <t>BORDEREAU DES PRIX UNITAIRES VALANT DÉTAIL QUANTITATIF ESTIMATIF</t>
  </si>
  <si>
    <t>LES QUANTITES CORRESPONDENT A UNE COMMANDE TYPE DONT LE SEUL BUT EST DE PERMETTRE LA COMPARAISON DES OFFRES, LES QUANTITES NE SONT PAS CONTRACTUELLES</t>
  </si>
  <si>
    <t>Codif.</t>
  </si>
  <si>
    <t>Désignation</t>
  </si>
  <si>
    <t xml:space="preserve">Prix unitaire HT </t>
  </si>
  <si>
    <t>Quantité estimée</t>
  </si>
  <si>
    <t>Prix global
 HT</t>
  </si>
  <si>
    <t>CREP</t>
  </si>
  <si>
    <t>Constat de risque d’exposition au plomb</t>
  </si>
  <si>
    <t>Maisons individuelles</t>
  </si>
  <si>
    <t>CREP01</t>
  </si>
  <si>
    <t>T1</t>
  </si>
  <si>
    <t>CREP02</t>
  </si>
  <si>
    <t>T2</t>
  </si>
  <si>
    <t>CREP03</t>
  </si>
  <si>
    <t>T3</t>
  </si>
  <si>
    <t>CREP04</t>
  </si>
  <si>
    <t>T4</t>
  </si>
  <si>
    <t>CREP05</t>
  </si>
  <si>
    <t>T5</t>
  </si>
  <si>
    <t>CREP06</t>
  </si>
  <si>
    <t>T6 et plus</t>
  </si>
  <si>
    <r>
      <t xml:space="preserve">Logements / locaux mixtes </t>
    </r>
    <r>
      <rPr>
        <i/>
        <sz val="11"/>
        <color theme="1"/>
        <rFont val="Times New Roman"/>
        <family val="1"/>
      </rPr>
      <t>(parties réservées à l’habitation)</t>
    </r>
    <r>
      <rPr>
        <sz val="11"/>
        <color theme="1"/>
        <rFont val="Times New Roman"/>
        <family val="1"/>
      </rPr>
      <t xml:space="preserve"> de bâtiments collectifs d’habitation </t>
    </r>
  </si>
  <si>
    <t>CREP07</t>
  </si>
  <si>
    <t>CREP08</t>
  </si>
  <si>
    <t>CREP09</t>
  </si>
  <si>
    <t>CREP10</t>
  </si>
  <si>
    <t>CREP11</t>
  </si>
  <si>
    <t>T5 et plus</t>
  </si>
  <si>
    <t>Parties communes de bâtiments collectifs d’habitation</t>
  </si>
  <si>
    <t>CREP12</t>
  </si>
  <si>
    <t>Bâtiment composé de 2 à 10 logements</t>
  </si>
  <si>
    <t>CREP13</t>
  </si>
  <si>
    <t>Bâtiment composé de 11 à 20 logements</t>
  </si>
  <si>
    <t>CREP14</t>
  </si>
  <si>
    <t>Bâtiment composé de 21 à 50 logements</t>
  </si>
  <si>
    <t>CREP15</t>
  </si>
  <si>
    <t>Bâtiment composé de 51 à 100 logements</t>
  </si>
  <si>
    <t>CREP16</t>
  </si>
  <si>
    <t>Bâtiment composé de plus de 100 logements</t>
  </si>
  <si>
    <t>CREP17</t>
  </si>
  <si>
    <t>Analyse en laboratoire</t>
  </si>
  <si>
    <t xml:space="preserve">Parties métalliques (garde corps, main courante) des parties communes  de bâtiments collectifs d’habitation </t>
  </si>
  <si>
    <t>CREP18</t>
  </si>
  <si>
    <t>CREP19</t>
  </si>
  <si>
    <t>CREP20</t>
  </si>
  <si>
    <t>CREP21</t>
  </si>
  <si>
    <t>CREP22</t>
  </si>
  <si>
    <r>
      <t xml:space="preserve">Parties métalliques (garde corps, main courante)  des logements / locaux mixtes </t>
    </r>
    <r>
      <rPr>
        <i/>
        <sz val="11"/>
        <color theme="1"/>
        <rFont val="Times New Roman"/>
        <family val="1"/>
      </rPr>
      <t>(parties réservées à l’habitation)</t>
    </r>
    <r>
      <rPr>
        <sz val="11"/>
        <color theme="1"/>
        <rFont val="Times New Roman"/>
        <family val="1"/>
      </rPr>
      <t xml:space="preserve"> de bâtiments collectifs ou individuels d’habitation </t>
    </r>
  </si>
  <si>
    <t>CREP23</t>
  </si>
  <si>
    <t>CREP24</t>
  </si>
  <si>
    <t>CREP25</t>
  </si>
  <si>
    <t>CREP26</t>
  </si>
  <si>
    <t>CREP27</t>
  </si>
  <si>
    <t>EIIEL</t>
  </si>
  <si>
    <t>Etat de l’installation intérieure d’électricité (locatif)</t>
  </si>
  <si>
    <r>
      <t xml:space="preserve">Maisons individuelles </t>
    </r>
    <r>
      <rPr>
        <i/>
        <sz val="11"/>
        <color theme="1"/>
        <rFont val="Times New Roman"/>
        <family val="1"/>
      </rPr>
      <t>(y compris dépendances)</t>
    </r>
  </si>
  <si>
    <t>EIIEL01</t>
  </si>
  <si>
    <t>EIIEL02</t>
  </si>
  <si>
    <t>EIIEL03</t>
  </si>
  <si>
    <t>EIIEL04</t>
  </si>
  <si>
    <t>EIIEL05</t>
  </si>
  <si>
    <t>EIIEL06</t>
  </si>
  <si>
    <r>
      <t xml:space="preserve">Logements / locaux mixtes </t>
    </r>
    <r>
      <rPr>
        <i/>
        <sz val="11"/>
        <color theme="1"/>
        <rFont val="Times New Roman"/>
        <family val="1"/>
      </rPr>
      <t>(parties réservées à l’habitation)</t>
    </r>
    <r>
      <rPr>
        <sz val="11"/>
        <color theme="1"/>
        <rFont val="Times New Roman"/>
        <family val="1"/>
      </rPr>
      <t xml:space="preserve"> de bâtiments collectifs d’habitation</t>
    </r>
  </si>
  <si>
    <t>EIIEL07</t>
  </si>
  <si>
    <t>EIIEL08</t>
  </si>
  <si>
    <t>EIIEL09</t>
  </si>
  <si>
    <t>EIIEL10</t>
  </si>
  <si>
    <t>EIIEL11</t>
  </si>
  <si>
    <t>EIIEV</t>
  </si>
  <si>
    <t>Etat de l’installation intérieure d’électricité (vente)</t>
  </si>
  <si>
    <t>EIIEV01</t>
  </si>
  <si>
    <t>EIIEV02</t>
  </si>
  <si>
    <t>EIIEV03</t>
  </si>
  <si>
    <t>EIIEV04</t>
  </si>
  <si>
    <t>EIIEV05</t>
  </si>
  <si>
    <t>EIIEV06</t>
  </si>
  <si>
    <t>EIIEV07</t>
  </si>
  <si>
    <t>EIIEV08</t>
  </si>
  <si>
    <t>EIIEV09</t>
  </si>
  <si>
    <t>EIIEV10</t>
  </si>
  <si>
    <t>EIIEV11</t>
  </si>
  <si>
    <t>EIIGL</t>
  </si>
  <si>
    <t>Etat de l’installation intérieure de gaz (locatif)</t>
  </si>
  <si>
    <t>EIIGL01</t>
  </si>
  <si>
    <t>EIIGL02</t>
  </si>
  <si>
    <t>EIIGL03</t>
  </si>
  <si>
    <t>EIIGL04</t>
  </si>
  <si>
    <t>EIIGL05</t>
  </si>
  <si>
    <t>EIIGL06</t>
  </si>
  <si>
    <t>EIIGL07</t>
  </si>
  <si>
    <t>EIIGL08</t>
  </si>
  <si>
    <t>EIIGL09</t>
  </si>
  <si>
    <t>EIIGL10</t>
  </si>
  <si>
    <t>EIIGL11</t>
  </si>
  <si>
    <t>EIIGV</t>
  </si>
  <si>
    <t>Etat de l’installation intérieure de gaz (vente)</t>
  </si>
  <si>
    <t>EIIGV01</t>
  </si>
  <si>
    <t>EIIGV02</t>
  </si>
  <si>
    <t>EIIGV03</t>
  </si>
  <si>
    <t>EIIGV04</t>
  </si>
  <si>
    <t>EIIGV05</t>
  </si>
  <si>
    <t>EIIGV06</t>
  </si>
  <si>
    <t>EIIGV07</t>
  </si>
  <si>
    <t>EIIGV08</t>
  </si>
  <si>
    <t>EIIGV09</t>
  </si>
  <si>
    <t>EIIGV10</t>
  </si>
  <si>
    <t>EIIGV11</t>
  </si>
  <si>
    <t>ERP</t>
  </si>
  <si>
    <t>Etat des risques et Pollutions et Etat des Nuisances Sonores et aériennes</t>
  </si>
  <si>
    <t>ERP1</t>
  </si>
  <si>
    <t>Etablissement d’un ERP et d'un ENSA</t>
  </si>
  <si>
    <t>MLC</t>
  </si>
  <si>
    <t>Métrage « Loi Carrez » ou "Loi Boutin"</t>
  </si>
  <si>
    <r>
      <t xml:space="preserve">Lots ou fractions de lots destinés à l’habitation </t>
    </r>
    <r>
      <rPr>
        <i/>
        <sz val="11"/>
        <color theme="1"/>
        <rFont val="Times New Roman"/>
        <family val="1"/>
      </rPr>
      <t>(maison, logement…)</t>
    </r>
    <r>
      <rPr>
        <sz val="11"/>
        <color theme="1"/>
        <rFont val="Times New Roman"/>
        <family val="1"/>
      </rPr>
      <t xml:space="preserve"> Loi Carrez</t>
    </r>
  </si>
  <si>
    <t>MLC01</t>
  </si>
  <si>
    <t>MLC02</t>
  </si>
  <si>
    <t>MLC03</t>
  </si>
  <si>
    <t>MLC04</t>
  </si>
  <si>
    <t>MLC05</t>
  </si>
  <si>
    <t>MLC06</t>
  </si>
  <si>
    <r>
      <t xml:space="preserve">Lots ou fractions de lots non destinés à l’habitation </t>
    </r>
    <r>
      <rPr>
        <i/>
        <sz val="11"/>
        <color theme="1"/>
        <rFont val="Times New Roman"/>
        <family val="1"/>
      </rPr>
      <t>(locaux commerciaux, professionnels…)</t>
    </r>
    <r>
      <rPr>
        <sz val="11"/>
        <color theme="1"/>
        <rFont val="Times New Roman"/>
        <family val="1"/>
      </rPr>
      <t xml:space="preserve"> Loi Boutin</t>
    </r>
  </si>
  <si>
    <t>MLC07</t>
  </si>
  <si>
    <t>Surface ≤ 100 m²</t>
  </si>
  <si>
    <t>MLC08</t>
  </si>
  <si>
    <t>Surface &gt; 100 m² et ≤ 500 m²</t>
  </si>
  <si>
    <t>MLC09</t>
  </si>
  <si>
    <t>Surface &gt; 500 m²</t>
  </si>
  <si>
    <t>DTG</t>
  </si>
  <si>
    <t>DTG01</t>
  </si>
  <si>
    <t>Bâtiment composé de 2 à 10 lots privatifs</t>
  </si>
  <si>
    <t>DTG02</t>
  </si>
  <si>
    <t>Bâtiment composé de 11 à 20 lots privatifs</t>
  </si>
  <si>
    <t>DTG03</t>
  </si>
  <si>
    <t>Bâtiment composé de 21 à 50 lots privatifs</t>
  </si>
  <si>
    <t>DTG04</t>
  </si>
  <si>
    <t>Bâtiment composé de plus de 50 lots privatifs</t>
  </si>
  <si>
    <t>Bâtiments à usage autre que d'habitation</t>
  </si>
  <si>
    <t>DTG05</t>
  </si>
  <si>
    <t>DTG06</t>
  </si>
  <si>
    <t>Surface &gt; 100 m² et ≤ 300 m²</t>
  </si>
  <si>
    <t>DTG07</t>
  </si>
  <si>
    <t>Surface &gt; 300 m² et ≤ 600 m²</t>
  </si>
  <si>
    <t>DTG08</t>
  </si>
  <si>
    <t>Surface &gt; 600 m²</t>
  </si>
  <si>
    <t>ERPT</t>
  </si>
  <si>
    <t>Etat relatif à la présence de termites dans le bâtiment </t>
  </si>
  <si>
    <t>Bâtiments à usage d'habitation</t>
  </si>
  <si>
    <t>ERPT01</t>
  </si>
  <si>
    <t>Bâtiment composé de 1 à 10 logements</t>
  </si>
  <si>
    <t>ERPT02</t>
  </si>
  <si>
    <t>ERPT03</t>
  </si>
  <si>
    <t>ERPT04</t>
  </si>
  <si>
    <t>Bâtiment composé de plus de 50 logements</t>
  </si>
  <si>
    <t>ERPT05</t>
  </si>
  <si>
    <t>ERPT06</t>
  </si>
  <si>
    <t>ERPT07</t>
  </si>
  <si>
    <t>ERPT08</t>
  </si>
  <si>
    <t>DPE</t>
  </si>
  <si>
    <t>Diagnostic de performances énergétique (DPE) 3CL ou ThCex</t>
  </si>
  <si>
    <t>DPE01</t>
  </si>
  <si>
    <t>DPE02</t>
  </si>
  <si>
    <t>DPE03</t>
  </si>
  <si>
    <t>DPE04</t>
  </si>
  <si>
    <t>DPE05</t>
  </si>
  <si>
    <t>DPE06</t>
  </si>
  <si>
    <t xml:space="preserve">Logements situés dans un bâtiment collectif d'habitation </t>
  </si>
  <si>
    <t>DPE07</t>
  </si>
  <si>
    <t>DPE08</t>
  </si>
  <si>
    <t>DPE09</t>
  </si>
  <si>
    <t>DPE10</t>
  </si>
  <si>
    <t>DPE11</t>
  </si>
  <si>
    <t>DPE12</t>
  </si>
  <si>
    <t xml:space="preserve">Immeuble entier </t>
  </si>
  <si>
    <t>DPE13</t>
  </si>
  <si>
    <t>DPE du batiment( 0 à 30 lots)</t>
  </si>
  <si>
    <t>DPE14</t>
  </si>
  <si>
    <t>AUD</t>
  </si>
  <si>
    <t>Audit énergétique méthode 3CL ou ThCex</t>
  </si>
  <si>
    <t>AUD01</t>
  </si>
  <si>
    <t>AUD02</t>
  </si>
  <si>
    <t>AUD03</t>
  </si>
  <si>
    <t>AUD04</t>
  </si>
  <si>
    <t>AUD05</t>
  </si>
  <si>
    <t>AUD06</t>
  </si>
  <si>
    <t>AUD07</t>
  </si>
  <si>
    <t>AUD08</t>
  </si>
  <si>
    <t>AUD09</t>
  </si>
  <si>
    <t>AUD10</t>
  </si>
  <si>
    <t>AUD11</t>
  </si>
  <si>
    <t>AUD12</t>
  </si>
  <si>
    <t>AUD13</t>
  </si>
  <si>
    <t>Audit global du batiment( 0 à 30 lots)</t>
  </si>
  <si>
    <t>AUD14</t>
  </si>
  <si>
    <t>Repérage d’amiante, diagnostic de l’état de conservation de l’amiante repérée et rédaction du rapport de repérage avec formulation de mesures de contrôle et de réduction de l’exposition</t>
  </si>
  <si>
    <t>Maisons individuelles destinées à la vente (repérage listes A et B)</t>
  </si>
  <si>
    <t>DTA01</t>
  </si>
  <si>
    <t>Studio / T1</t>
  </si>
  <si>
    <t>DTA02</t>
  </si>
  <si>
    <t>DTA03</t>
  </si>
  <si>
    <t>DTA04</t>
  </si>
  <si>
    <t>DTA05</t>
  </si>
  <si>
    <t>DTA06</t>
  </si>
  <si>
    <r>
      <t xml:space="preserve">Immeubles collectifs – Parties privatives destinées à la vente (repérage liste B)
</t>
    </r>
    <r>
      <rPr>
        <i/>
        <sz val="11"/>
        <color theme="1"/>
        <rFont val="Times New Roman"/>
        <family val="1"/>
      </rPr>
      <t>(avec réutilisation d'un DAPP existant)</t>
    </r>
  </si>
  <si>
    <t>DTA07</t>
  </si>
  <si>
    <t>DTA08</t>
  </si>
  <si>
    <t>DTA09</t>
  </si>
  <si>
    <t>DTA10</t>
  </si>
  <si>
    <t>DTA11</t>
  </si>
  <si>
    <t>DTA12</t>
  </si>
  <si>
    <r>
      <t xml:space="preserve">Immeubles collectifs – Parties privatives destinées à la vente (repérage liste A et B)
</t>
    </r>
    <r>
      <rPr>
        <i/>
        <sz val="11"/>
        <color theme="1"/>
        <rFont val="Times New Roman"/>
        <family val="1"/>
      </rPr>
      <t>(en l'absence de DAPP existant)</t>
    </r>
  </si>
  <si>
    <t>DTA13</t>
  </si>
  <si>
    <t>DTA14</t>
  </si>
  <si>
    <t>DTA15</t>
  </si>
  <si>
    <t>DTA16</t>
  </si>
  <si>
    <t>DTA17</t>
  </si>
  <si>
    <t>DTA18</t>
  </si>
  <si>
    <t>Immeuble entier (listes A et B)</t>
  </si>
  <si>
    <t>AMI1</t>
  </si>
  <si>
    <t>Surface ≤ 15 m²  (par exemple, box indépendant)</t>
  </si>
  <si>
    <t>AMI2</t>
  </si>
  <si>
    <t>Surface ≤ 50 m²</t>
  </si>
  <si>
    <t>AMI3</t>
  </si>
  <si>
    <t>AMI4</t>
  </si>
  <si>
    <t>Surface ≤ 250 m²</t>
  </si>
  <si>
    <t>AMI5</t>
  </si>
  <si>
    <t>Surface ≤ 500 m²</t>
  </si>
  <si>
    <t>AMI6</t>
  </si>
  <si>
    <t>Surface ≤ 2000 m²</t>
  </si>
  <si>
    <t>AMI7</t>
  </si>
  <si>
    <t>Surface ≤ 5000 m²</t>
  </si>
  <si>
    <t>AMI8</t>
  </si>
  <si>
    <t>Surface &gt; 5000 m²</t>
  </si>
  <si>
    <t>Immeuble - Parties privatives seulement (liste A)</t>
  </si>
  <si>
    <t>AMI9</t>
  </si>
  <si>
    <t>AMI10</t>
  </si>
  <si>
    <t>AMI11</t>
  </si>
  <si>
    <t>AMI12</t>
  </si>
  <si>
    <t>AMI13</t>
  </si>
  <si>
    <t>AMI14</t>
  </si>
  <si>
    <t>Immeuble - Parties communes seulement (listes A et B)</t>
  </si>
  <si>
    <t>AMI15</t>
  </si>
  <si>
    <t>R+0</t>
  </si>
  <si>
    <t>AMI16</t>
  </si>
  <si>
    <t>R+1 à 3</t>
  </si>
  <si>
    <t>AMI17</t>
  </si>
  <si>
    <t>R+4 à 5</t>
  </si>
  <si>
    <t>AMI18</t>
  </si>
  <si>
    <t>R+6 à 8</t>
  </si>
  <si>
    <t>AMI19</t>
  </si>
  <si>
    <t>R+9 à 11</t>
  </si>
  <si>
    <t>AMI20</t>
  </si>
  <si>
    <t>R+12 à 15</t>
  </si>
  <si>
    <t>AMI21</t>
  </si>
  <si>
    <t>R+15 et plus</t>
  </si>
  <si>
    <t>AMI28</t>
  </si>
  <si>
    <t>Constitution de DTA à partir de rapports de repérages existants ou de fiches récapitulatives</t>
  </si>
  <si>
    <t>AMI29</t>
  </si>
  <si>
    <t>Évaluation de l’état de conservation de matériaux ou produits amiantés</t>
  </si>
  <si>
    <t>AMI30</t>
  </si>
  <si>
    <t>Examen visuel de l'état de surfaces traitées suite à des travaux de retrait ou de confinement</t>
  </si>
  <si>
    <t>Mesure de niveaux d'empoussièrement dans l'air</t>
  </si>
  <si>
    <t>AMI31</t>
  </si>
  <si>
    <t>Établissement d’une stratégie de prélèvement avec un échantillonnage</t>
  </si>
  <si>
    <t>AMI32</t>
  </si>
  <si>
    <t>Réalisation des prélèvements</t>
  </si>
  <si>
    <t>Repérages complémentaires (liste B) nécessaires pour compléter des DTA antérieurs à l’entrée en vigueur du décret n°2011-629 du 3 juin 2011</t>
  </si>
  <si>
    <t>Immeuble hors habitation collective</t>
  </si>
  <si>
    <t>AMI33</t>
  </si>
  <si>
    <t>AMI34</t>
  </si>
  <si>
    <t>Surface &gt; 500 m² et ≤ 2000 m²</t>
  </si>
  <si>
    <t>AMI35</t>
  </si>
  <si>
    <t>Surface &gt; 2000 m² et ≤ 5000 m²</t>
  </si>
  <si>
    <t>AMI36</t>
  </si>
  <si>
    <t>Immeuble d’habitation collective - Parties communes seulement</t>
  </si>
  <si>
    <t>AMI37</t>
  </si>
  <si>
    <t>AMI38</t>
  </si>
  <si>
    <t>AMI39</t>
  </si>
  <si>
    <t>AMI40</t>
  </si>
  <si>
    <t>AMI41</t>
  </si>
  <si>
    <t>AMI42</t>
  </si>
  <si>
    <t>AMI43</t>
  </si>
  <si>
    <t>AMI44</t>
  </si>
  <si>
    <t>Mise à jour des DTA antérieurs au décret du 3 juin 2011, en cas de découverte d’amiante ou de travaux</t>
  </si>
  <si>
    <t xml:space="preserve">Repérages amiante avant travaux </t>
  </si>
  <si>
    <t>Travaux d’entretien ou réparations(prix par rapport de repérage amiante, prix du/des prélévements non inclus)</t>
  </si>
  <si>
    <t>AMI45</t>
  </si>
  <si>
    <t>Entre 1 et 10 prélèvements</t>
  </si>
  <si>
    <t>AMI46</t>
  </si>
  <si>
    <t>Entre 11 et 50  prélèvements</t>
  </si>
  <si>
    <t>AMI47</t>
  </si>
  <si>
    <t>Entre 51 et 200  prélèvements</t>
  </si>
  <si>
    <t>AMI48</t>
  </si>
  <si>
    <t>Plus de 200  prélèvements</t>
  </si>
  <si>
    <t>Travaux d’entretien ou réparations urgents (prix par rapport de repérage amiante, prix du/des prélévements non inclus)</t>
  </si>
  <si>
    <t>AMI49</t>
  </si>
  <si>
    <t>Entre 1 et 10  prélèvements</t>
  </si>
  <si>
    <t>AMI50</t>
  </si>
  <si>
    <t>AMI51</t>
  </si>
  <si>
    <t>AMI52</t>
  </si>
  <si>
    <t>Réhabilitation / programme de gros entretien(prix par rapport de repérage amiante, prix du/des prélévements non inclus)</t>
  </si>
  <si>
    <t>AMI53</t>
  </si>
  <si>
    <t>AMI54</t>
  </si>
  <si>
    <t>Entre 11 et 50 prélèvements</t>
  </si>
  <si>
    <t>AMI55</t>
  </si>
  <si>
    <t>AMI56</t>
  </si>
  <si>
    <t>Repérage amiante avant démolition (liste C)(prix par rapport de repérage amiante, prix du/des prélévements non inclus)</t>
  </si>
  <si>
    <t>AMI57</t>
  </si>
  <si>
    <t xml:space="preserve">En Partie d’immeuble </t>
  </si>
  <si>
    <t>Immeuble complet (hors habitation collective)(prix par rapport de repérage amiante, prix du/des prélévements non inclus)</t>
  </si>
  <si>
    <t>AMI58</t>
  </si>
  <si>
    <t>AMI59</t>
  </si>
  <si>
    <t>AMI60</t>
  </si>
  <si>
    <t>AMI61</t>
  </si>
  <si>
    <t>Immeuble complet habitation collective)(prix par rapport de repérage amiante, prix du/des prélévements non inclus)</t>
  </si>
  <si>
    <t>AMI62</t>
  </si>
  <si>
    <t>AMI63</t>
  </si>
  <si>
    <t>AMI64</t>
  </si>
  <si>
    <t>AMI65</t>
  </si>
  <si>
    <t>AMI66</t>
  </si>
  <si>
    <t>AMI67</t>
  </si>
  <si>
    <t>AMI68</t>
  </si>
  <si>
    <t>prélèvement pour detecter la presence d'amiante</t>
  </si>
  <si>
    <t>prix par prélèvement incluant les analyses (indépendament du  nombre de materiaux du prélévement et des méthodes d'analyses employées (MOLP-MET))</t>
  </si>
  <si>
    <t>AMI69</t>
  </si>
  <si>
    <t xml:space="preserve"> 1 à 10 prélèvements</t>
  </si>
  <si>
    <t>AMI70</t>
  </si>
  <si>
    <t xml:space="preserve"> 11 à 50 prélèvements</t>
  </si>
  <si>
    <t>AMI71</t>
  </si>
  <si>
    <t>51 à 200 prélèvements</t>
  </si>
  <si>
    <t>AMI72</t>
  </si>
  <si>
    <t xml:space="preserve"> plus de 200 prélèvements</t>
  </si>
  <si>
    <t>Analyse de l’empoussièrement de l’air</t>
  </si>
  <si>
    <t>AMI78</t>
  </si>
  <si>
    <t>Analyse MET-Air</t>
  </si>
  <si>
    <t>Prélèvement d’enrobé pour detecter la présence d'amiante</t>
  </si>
  <si>
    <t>AMI79</t>
  </si>
  <si>
    <t xml:space="preserve">1 à 50 prélèvements </t>
  </si>
  <si>
    <t>AMI80</t>
  </si>
  <si>
    <t xml:space="preserve"> 51 à 200 prélèvements </t>
  </si>
  <si>
    <t>AMI81</t>
  </si>
  <si>
    <t xml:space="preserve">plus de 200 prélèvements </t>
  </si>
  <si>
    <t>Engins de levage</t>
  </si>
  <si>
    <t>AMI82</t>
  </si>
  <si>
    <t>Engin élévateur avec nacelle jusqu’à 32 mètres de hauteur</t>
  </si>
  <si>
    <t>AMI83</t>
  </si>
  <si>
    <t>Engin élévateur avec nacelle jusqu’à 45 mètres de hauteur</t>
  </si>
  <si>
    <t>Quantification des éléments amiantés</t>
  </si>
  <si>
    <t>Logements</t>
  </si>
  <si>
    <t>AMI84</t>
  </si>
  <si>
    <t>AMI85</t>
  </si>
  <si>
    <t>AMI86</t>
  </si>
  <si>
    <t>AMI87</t>
  </si>
  <si>
    <t>AMI88</t>
  </si>
  <si>
    <t>Parties communes</t>
  </si>
  <si>
    <t>AMI89</t>
  </si>
  <si>
    <t>Cages d'escaliers de 0 à 5 étages</t>
  </si>
  <si>
    <t>AMI90</t>
  </si>
  <si>
    <t>Cages d'escaliers de 0 à 10 étages</t>
  </si>
  <si>
    <t>AMI91</t>
  </si>
  <si>
    <t>Cages d'escaliers : supérieures à 10 étages</t>
  </si>
  <si>
    <t>AMI92</t>
  </si>
  <si>
    <t>Sous-sols + Parking &lt; à 1000 m2</t>
  </si>
  <si>
    <t>AMI93</t>
  </si>
  <si>
    <t>Sous-sols + Parking &gt; à 1000 m2</t>
  </si>
  <si>
    <t>AMI94</t>
  </si>
  <si>
    <t>Vides sanitaires &lt; 1000 m2</t>
  </si>
  <si>
    <t>AMI95</t>
  </si>
  <si>
    <t>Vides sanitaires &gt; 1000 m2</t>
  </si>
  <si>
    <t>AMI96</t>
  </si>
  <si>
    <t>Toitures &lt; 1000 m2</t>
  </si>
  <si>
    <t>AMI97</t>
  </si>
  <si>
    <t>Toitures &gt; 1000 m2</t>
  </si>
  <si>
    <t>AMI98</t>
  </si>
  <si>
    <t>Façades &lt; 1000 m2</t>
  </si>
  <si>
    <t>AMI99</t>
  </si>
  <si>
    <t>Façades &gt; 1000 m2</t>
  </si>
  <si>
    <t>Hydrocarbures Aromatiques Polycycliques (HAP)</t>
  </si>
  <si>
    <t>Prélèvement d’enrobé pour detecter la présence des HAP</t>
  </si>
  <si>
    <t>prix par prélèvement incluant les analyses (indépendament du  nombre de materiaux du prélévement et des méthodes d'analyses employées )</t>
  </si>
  <si>
    <t>AMI100</t>
  </si>
  <si>
    <t>AMI101</t>
  </si>
  <si>
    <t>AMI102</t>
  </si>
  <si>
    <t>Total</t>
  </si>
  <si>
    <t>prix par prélèvement compris les analyses (quels que soient le nombre de materiaux du prélèvement ainsi que les méthodes d'analyses utilisées (MOLP-MET))</t>
  </si>
  <si>
    <t>prix par prélèvement compris les analyses  ( quels que soient le nombre de materiaux du prélèvement ainsi que  les méthodes d'analyses utilisées (MOLP-MET))</t>
  </si>
  <si>
    <t>prix par prélèvement compris les analyses  (quels que soient le nombre de materiaux du prélèvement ainsi que les méthodes d'analyses utilisées )</t>
  </si>
  <si>
    <t>LOT N° 1 - PATRIMOINE IMMOBILIER Centre – SENART / PAYS DE LA BRIE</t>
  </si>
  <si>
    <t>LOT N° 1 - PATRIMOINE IMMOBILIER Nord – PVM / GONDOIRE</t>
  </si>
  <si>
    <t>LOT N° 1 - PATRIMOINE IMMOBILIER Sud – MELUN / VDS / GATINAIS</t>
  </si>
  <si>
    <t xml:space="preserve"> Il est à noter que si une ligne du bordereau des prix unitaires n’est pas chiffrée, ni remplie, l’offre est irrégulière au sens de l’article L2152-2 du Code de la commande publique. Il est rappelé que la mention « 0 » (zéro) ne peut être reportée dans le bordereau des prix
unitaires pour exprimer la gratuité d’une prestation, il convient de mentionner à la place l’une
des mentions suivantes : « inclus » ou « compris ».</t>
  </si>
  <si>
    <t>Il est à noter que si une ligne du bordereau des prix unitaires n’est pas chiffrée, ni remplie, l’offre est irrégulière au sens de l’article L2152-2 du Code de la commande publique. Il est rappelé que la mention « 0 » (zéro) ne peut être reportée dans le bordereau des prix
unitaires pour exprimer la gratuité d’une prestation, il convient de mentionner à la place l’une
des mentions suivantes : « inclus » ou « compris ».</t>
  </si>
  <si>
    <t>DPE du batiment( de 31 à 60 lots)</t>
  </si>
  <si>
    <t>DPE du batiment( de 61 à 100 lots)</t>
  </si>
  <si>
    <t>DPE du batiment( + de 100 lots)</t>
  </si>
  <si>
    <t>DPE15</t>
  </si>
  <si>
    <t>DPE16</t>
  </si>
  <si>
    <t>AUD15</t>
  </si>
  <si>
    <t>AUD16</t>
  </si>
  <si>
    <t>Audit global du batiment( de 31 à 60 lots)</t>
  </si>
  <si>
    <t>Audit global du batiment( de 61 à 100 lots)</t>
  </si>
  <si>
    <t>Audit global du batiment( + de 100 lots)</t>
  </si>
  <si>
    <t>Diagnostic technique global des immeubles (Bâtiments collectifs d'habitation) relevant du statut de la copropriété</t>
  </si>
  <si>
    <t>DTG complet avec fourniture de DPE immeuble</t>
  </si>
  <si>
    <t>DTG complet avec DPE immeuble valable fourni par Habitat 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</si>
</sst>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i/>
      <sz val="11"/>
      <color theme="1"/>
      <name val="Times New Roman"/>
      <family val="1"/>
    </font>
    <font>
      <b/>
      <sz val="12"/>
      <color theme="1"/>
      <name val="Times New Roman"/>
      <family val="1"/>
    </font>
    <font>
      <u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sz val="10"/>
      <color theme="1"/>
      <name val="Aptos"/>
      <family val="2"/>
    </font>
    <font>
      <b/>
      <i/>
      <sz val="11"/>
      <color theme="1"/>
      <name val="Garamond"/>
      <family val="1"/>
    </font>
    <font>
      <sz val="11"/>
      <color theme="1"/>
      <name val="Garamond"/>
      <family val="1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Garamond"/>
      <family val="1"/>
    </font>
    <font>
      <sz val="10"/>
      <color rgb="FFFF0000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4BC96"/>
        <bgColor indexed="64"/>
      </patternFill>
    </fill>
    <fill>
      <patternFill patternType="solid">
        <fgColor rgb="FFCCC0D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8DB4E2"/>
        <bgColor rgb="FF000000"/>
      </patternFill>
    </fill>
    <fill>
      <patternFill patternType="solid">
        <fgColor rgb="FFC5D9F1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justify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4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4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4" fillId="2" borderId="4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9" fillId="0" borderId="3" xfId="0" applyFont="1" applyBorder="1"/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9" fillId="0" borderId="13" xfId="0" applyFont="1" applyBorder="1"/>
    <xf numFmtId="0" fontId="2" fillId="0" borderId="13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/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8" fontId="12" fillId="0" borderId="1" xfId="0" applyNumberFormat="1" applyFont="1" applyBorder="1" applyAlignment="1">
      <alignment horizontal="right" vertical="center"/>
    </xf>
    <xf numFmtId="0" fontId="12" fillId="0" borderId="6" xfId="0" applyFont="1" applyBorder="1" applyAlignment="1">
      <alignment horizontal="left" wrapText="1"/>
    </xf>
    <xf numFmtId="0" fontId="11" fillId="0" borderId="4" xfId="0" applyFont="1" applyBorder="1" applyAlignment="1">
      <alignment horizontal="center" vertical="center"/>
    </xf>
    <xf numFmtId="0" fontId="13" fillId="0" borderId="0" xfId="0" applyFont="1"/>
    <xf numFmtId="0" fontId="12" fillId="0" borderId="2" xfId="0" applyFont="1" applyBorder="1" applyAlignment="1">
      <alignment horizontal="left" wrapText="1"/>
    </xf>
    <xf numFmtId="0" fontId="12" fillId="0" borderId="2" xfId="0" applyFont="1" applyBorder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8" fontId="12" fillId="0" borderId="6" xfId="0" applyNumberFormat="1" applyFont="1" applyBorder="1" applyAlignment="1">
      <alignment horizontal="right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left" wrapText="1"/>
    </xf>
    <xf numFmtId="0" fontId="12" fillId="0" borderId="3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25" borderId="5" xfId="0" applyFont="1" applyFill="1" applyBorder="1" applyAlignment="1">
      <alignment horizontal="center" vertical="center" wrapText="1"/>
    </xf>
    <xf numFmtId="0" fontId="1" fillId="25" borderId="2" xfId="0" applyFont="1" applyFill="1" applyBorder="1" applyAlignment="1">
      <alignment horizontal="center" vertical="center" wrapText="1"/>
    </xf>
    <xf numFmtId="0" fontId="1" fillId="25" borderId="6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1" fillId="19" borderId="5" xfId="0" applyFont="1" applyFill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6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8" borderId="5" xfId="0" applyFont="1" applyFill="1" applyBorder="1" applyAlignment="1">
      <alignment horizontal="center" vertical="center" wrapText="1"/>
    </xf>
    <xf numFmtId="0" fontId="1" fillId="18" borderId="2" xfId="0" applyFont="1" applyFill="1" applyBorder="1" applyAlignment="1">
      <alignment horizontal="center" vertical="center" wrapText="1"/>
    </xf>
    <xf numFmtId="0" fontId="1" fillId="18" borderId="6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1" fillId="23" borderId="5" xfId="0" applyFont="1" applyFill="1" applyBorder="1" applyAlignment="1">
      <alignment horizontal="center" vertical="center" wrapText="1"/>
    </xf>
    <xf numFmtId="0" fontId="1" fillId="23" borderId="2" xfId="0" applyFont="1" applyFill="1" applyBorder="1" applyAlignment="1">
      <alignment horizontal="center" vertical="center" wrapText="1"/>
    </xf>
    <xf numFmtId="0" fontId="1" fillId="23" borderId="6" xfId="0" applyFont="1" applyFill="1" applyBorder="1" applyAlignment="1">
      <alignment horizontal="center" vertical="center" wrapText="1"/>
    </xf>
    <xf numFmtId="0" fontId="2" fillId="17" borderId="5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0" fontId="1" fillId="24" borderId="5" xfId="0" applyFont="1" applyFill="1" applyBorder="1" applyAlignment="1">
      <alignment horizontal="center" vertical="center" wrapText="1"/>
    </xf>
    <xf numFmtId="0" fontId="1" fillId="24" borderId="2" xfId="0" applyFont="1" applyFill="1" applyBorder="1" applyAlignment="1">
      <alignment horizontal="center" vertical="center" wrapText="1"/>
    </xf>
    <xf numFmtId="0" fontId="1" fillId="24" borderId="6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10" fillId="27" borderId="5" xfId="0" applyFont="1" applyFill="1" applyBorder="1" applyAlignment="1">
      <alignment horizontal="center" vertical="center" wrapText="1"/>
    </xf>
    <xf numFmtId="0" fontId="10" fillId="27" borderId="2" xfId="0" applyFont="1" applyFill="1" applyBorder="1" applyAlignment="1">
      <alignment horizontal="center" vertical="center" wrapText="1"/>
    </xf>
    <xf numFmtId="0" fontId="10" fillId="27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10" fillId="27" borderId="5" xfId="0" applyFont="1" applyFill="1" applyBorder="1" applyAlignment="1">
      <alignment horizontal="center"/>
    </xf>
    <xf numFmtId="0" fontId="10" fillId="27" borderId="2" xfId="0" applyFont="1" applyFill="1" applyBorder="1" applyAlignment="1">
      <alignment horizontal="center"/>
    </xf>
    <xf numFmtId="0" fontId="10" fillId="27" borderId="6" xfId="0" applyFont="1" applyFill="1" applyBorder="1" applyAlignment="1">
      <alignment horizontal="center"/>
    </xf>
    <xf numFmtId="0" fontId="10" fillId="26" borderId="5" xfId="0" applyFont="1" applyFill="1" applyBorder="1" applyAlignment="1">
      <alignment horizontal="center" vertical="center" wrapText="1"/>
    </xf>
    <xf numFmtId="0" fontId="10" fillId="26" borderId="2" xfId="0" applyFont="1" applyFill="1" applyBorder="1" applyAlignment="1">
      <alignment horizontal="center" vertical="center" wrapText="1"/>
    </xf>
    <xf numFmtId="0" fontId="10" fillId="26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4E32-FC11-4A72-A1CE-37A04879EBFA}">
  <dimension ref="A1:E333"/>
  <sheetViews>
    <sheetView topLeftCell="A92" zoomScaleNormal="100" zoomScaleSheetLayoutView="85" workbookViewId="0">
      <selection activeCell="A112" sqref="A112:XFD112"/>
    </sheetView>
  </sheetViews>
  <sheetFormatPr baseColWidth="10" defaultColWidth="11.453125" defaultRowHeight="14" x14ac:dyDescent="0.35"/>
  <cols>
    <col min="1" max="1" width="10.26953125" style="10" customWidth="1"/>
    <col min="2" max="2" width="40.26953125" style="10" customWidth="1"/>
    <col min="3" max="3" width="16.26953125" style="5" customWidth="1"/>
    <col min="4" max="4" width="16.26953125" style="10" customWidth="1"/>
    <col min="5" max="5" width="16.26953125" style="29" customWidth="1"/>
    <col min="6" max="16384" width="11.453125" style="10"/>
  </cols>
  <sheetData>
    <row r="1" spans="1:5" ht="15" x14ac:dyDescent="0.35">
      <c r="A1" s="67" t="s">
        <v>0</v>
      </c>
      <c r="B1" s="67"/>
      <c r="C1" s="67"/>
      <c r="D1" s="67"/>
      <c r="E1" s="67"/>
    </row>
    <row r="2" spans="1:5" ht="8.5" customHeight="1" x14ac:dyDescent="0.35">
      <c r="A2" s="4"/>
    </row>
    <row r="3" spans="1:5" ht="15" x14ac:dyDescent="0.35">
      <c r="A3" s="67" t="s">
        <v>388</v>
      </c>
      <c r="B3" s="67"/>
      <c r="C3" s="67"/>
      <c r="D3" s="67"/>
      <c r="E3" s="67"/>
    </row>
    <row r="4" spans="1:5" ht="8.5" customHeight="1" x14ac:dyDescent="0.35">
      <c r="A4" s="4"/>
    </row>
    <row r="5" spans="1:5" ht="14.15" customHeight="1" x14ac:dyDescent="0.35">
      <c r="A5" s="68" t="s">
        <v>1</v>
      </c>
      <c r="B5" s="68"/>
      <c r="C5" s="68"/>
      <c r="D5" s="68"/>
      <c r="E5" s="68"/>
    </row>
    <row r="6" spans="1:5" ht="14.15" customHeight="1" x14ac:dyDescent="0.35">
      <c r="A6" s="68"/>
      <c r="B6" s="68"/>
      <c r="C6" s="68"/>
      <c r="D6" s="68"/>
      <c r="E6" s="68"/>
    </row>
    <row r="7" spans="1:5" ht="14.15" customHeight="1" x14ac:dyDescent="0.35">
      <c r="A7" s="64"/>
      <c r="B7" s="65"/>
      <c r="C7" s="65"/>
      <c r="D7" s="65"/>
      <c r="E7" s="65"/>
    </row>
    <row r="8" spans="1:5" ht="75.650000000000006" customHeight="1" x14ac:dyDescent="0.35">
      <c r="A8" s="72" t="s">
        <v>390</v>
      </c>
      <c r="B8" s="72"/>
      <c r="C8" s="72"/>
      <c r="D8" s="72"/>
      <c r="E8" s="72"/>
    </row>
    <row r="9" spans="1:5" ht="14.15" customHeight="1" x14ac:dyDescent="0.35">
      <c r="A9" s="65"/>
      <c r="B9" s="65"/>
      <c r="C9" s="65"/>
      <c r="D9" s="65"/>
      <c r="E9" s="65"/>
    </row>
    <row r="10" spans="1:5" ht="0.65" customHeight="1" x14ac:dyDescent="0.3">
      <c r="A10" s="1"/>
      <c r="B10" s="1"/>
      <c r="C10" s="1"/>
      <c r="D10" s="1"/>
      <c r="E10" s="30"/>
    </row>
    <row r="11" spans="1:5" ht="28.15" customHeight="1" x14ac:dyDescent="0.35">
      <c r="A11" s="2" t="s">
        <v>2</v>
      </c>
      <c r="B11" s="2" t="s">
        <v>3</v>
      </c>
      <c r="C11" s="2" t="s">
        <v>4</v>
      </c>
      <c r="D11" s="3" t="s">
        <v>5</v>
      </c>
      <c r="E11" s="31" t="s">
        <v>6</v>
      </c>
    </row>
    <row r="12" spans="1:5" ht="8.5" customHeight="1" x14ac:dyDescent="0.35">
      <c r="A12" s="5"/>
    </row>
    <row r="13" spans="1:5" ht="8.5" customHeight="1" x14ac:dyDescent="0.35">
      <c r="A13" s="5"/>
      <c r="C13" s="10"/>
    </row>
    <row r="14" spans="1:5" ht="28.5" customHeight="1" x14ac:dyDescent="0.35">
      <c r="A14" s="6" t="s">
        <v>7</v>
      </c>
      <c r="B14" s="69" t="s">
        <v>8</v>
      </c>
      <c r="C14" s="70"/>
      <c r="D14" s="70"/>
      <c r="E14" s="71"/>
    </row>
    <row r="15" spans="1:5" x14ac:dyDescent="0.35">
      <c r="A15" s="66" t="s">
        <v>9</v>
      </c>
      <c r="B15" s="66"/>
      <c r="C15" s="66"/>
      <c r="D15" s="66"/>
      <c r="E15" s="66"/>
    </row>
    <row r="16" spans="1:5" x14ac:dyDescent="0.35">
      <c r="A16" s="6" t="s">
        <v>10</v>
      </c>
      <c r="B16" s="11" t="s">
        <v>11</v>
      </c>
      <c r="C16" s="20">
        <v>46</v>
      </c>
      <c r="D16" s="12">
        <v>1</v>
      </c>
      <c r="E16" s="32">
        <f>C16*D16</f>
        <v>46</v>
      </c>
    </row>
    <row r="17" spans="1:5" x14ac:dyDescent="0.35">
      <c r="A17" s="6" t="s">
        <v>12</v>
      </c>
      <c r="B17" s="11" t="s">
        <v>13</v>
      </c>
      <c r="C17" s="20">
        <v>47</v>
      </c>
      <c r="D17" s="12">
        <v>1</v>
      </c>
      <c r="E17" s="32">
        <f t="shared" ref="E17:E20" si="0">C17*D17</f>
        <v>47</v>
      </c>
    </row>
    <row r="18" spans="1:5" x14ac:dyDescent="0.35">
      <c r="A18" s="6" t="s">
        <v>14</v>
      </c>
      <c r="B18" s="11" t="s">
        <v>15</v>
      </c>
      <c r="C18" s="20">
        <v>54</v>
      </c>
      <c r="D18" s="12">
        <v>2</v>
      </c>
      <c r="E18" s="32">
        <f t="shared" si="0"/>
        <v>108</v>
      </c>
    </row>
    <row r="19" spans="1:5" x14ac:dyDescent="0.35">
      <c r="A19" s="6" t="s">
        <v>16</v>
      </c>
      <c r="B19" s="11" t="s">
        <v>17</v>
      </c>
      <c r="C19" s="20">
        <v>59</v>
      </c>
      <c r="D19" s="12">
        <v>2</v>
      </c>
      <c r="E19" s="32">
        <f t="shared" si="0"/>
        <v>118</v>
      </c>
    </row>
    <row r="20" spans="1:5" x14ac:dyDescent="0.35">
      <c r="A20" s="6" t="s">
        <v>18</v>
      </c>
      <c r="B20" s="11" t="s">
        <v>19</v>
      </c>
      <c r="C20" s="20">
        <v>62</v>
      </c>
      <c r="D20" s="12">
        <v>2</v>
      </c>
      <c r="E20" s="32">
        <f t="shared" si="0"/>
        <v>124</v>
      </c>
    </row>
    <row r="21" spans="1:5" x14ac:dyDescent="0.35">
      <c r="A21" s="6" t="s">
        <v>20</v>
      </c>
      <c r="B21" s="11" t="s">
        <v>21</v>
      </c>
      <c r="C21" s="20">
        <v>65</v>
      </c>
      <c r="D21" s="12">
        <v>2</v>
      </c>
      <c r="E21" s="32">
        <f>C21*D21</f>
        <v>130</v>
      </c>
    </row>
    <row r="22" spans="1:5" x14ac:dyDescent="0.35">
      <c r="A22" s="74" t="s">
        <v>22</v>
      </c>
      <c r="B22" s="75"/>
      <c r="C22" s="75"/>
      <c r="D22" s="75"/>
      <c r="E22" s="76"/>
    </row>
    <row r="23" spans="1:5" x14ac:dyDescent="0.35">
      <c r="A23" s="6" t="s">
        <v>23</v>
      </c>
      <c r="B23" s="11" t="s">
        <v>11</v>
      </c>
      <c r="C23" s="20">
        <v>33</v>
      </c>
      <c r="D23" s="12">
        <v>2</v>
      </c>
      <c r="E23" s="32">
        <f>C23*D23</f>
        <v>66</v>
      </c>
    </row>
    <row r="24" spans="1:5" x14ac:dyDescent="0.35">
      <c r="A24" s="6" t="s">
        <v>24</v>
      </c>
      <c r="B24" s="11" t="s">
        <v>13</v>
      </c>
      <c r="C24" s="20">
        <v>35</v>
      </c>
      <c r="D24" s="12">
        <v>3</v>
      </c>
      <c r="E24" s="32">
        <f t="shared" ref="E24:E27" si="1">C24*D24</f>
        <v>105</v>
      </c>
    </row>
    <row r="25" spans="1:5" x14ac:dyDescent="0.35">
      <c r="A25" s="6" t="s">
        <v>25</v>
      </c>
      <c r="B25" s="11" t="s">
        <v>15</v>
      </c>
      <c r="C25" s="20">
        <v>40</v>
      </c>
      <c r="D25" s="12">
        <v>2</v>
      </c>
      <c r="E25" s="32">
        <f t="shared" si="1"/>
        <v>80</v>
      </c>
    </row>
    <row r="26" spans="1:5" x14ac:dyDescent="0.35">
      <c r="A26" s="6" t="s">
        <v>26</v>
      </c>
      <c r="B26" s="11" t="s">
        <v>17</v>
      </c>
      <c r="C26" s="20">
        <v>45</v>
      </c>
      <c r="D26" s="12">
        <v>3</v>
      </c>
      <c r="E26" s="32">
        <f t="shared" si="1"/>
        <v>135</v>
      </c>
    </row>
    <row r="27" spans="1:5" x14ac:dyDescent="0.35">
      <c r="A27" s="6" t="s">
        <v>27</v>
      </c>
      <c r="B27" s="11" t="s">
        <v>28</v>
      </c>
      <c r="C27" s="20">
        <v>50</v>
      </c>
      <c r="D27" s="12">
        <v>2</v>
      </c>
      <c r="E27" s="32">
        <f t="shared" si="1"/>
        <v>100</v>
      </c>
    </row>
    <row r="28" spans="1:5" x14ac:dyDescent="0.35">
      <c r="A28" s="66" t="s">
        <v>29</v>
      </c>
      <c r="B28" s="66"/>
      <c r="C28" s="66"/>
      <c r="D28" s="66"/>
      <c r="E28" s="66"/>
    </row>
    <row r="29" spans="1:5" x14ac:dyDescent="0.35">
      <c r="A29" s="6" t="s">
        <v>30</v>
      </c>
      <c r="B29" s="11" t="s">
        <v>31</v>
      </c>
      <c r="C29" s="20">
        <v>65</v>
      </c>
      <c r="D29" s="12">
        <v>1</v>
      </c>
      <c r="E29" s="32">
        <f>C29*D29</f>
        <v>65</v>
      </c>
    </row>
    <row r="30" spans="1:5" x14ac:dyDescent="0.35">
      <c r="A30" s="6" t="s">
        <v>32</v>
      </c>
      <c r="B30" s="11" t="s">
        <v>33</v>
      </c>
      <c r="C30" s="20">
        <v>105</v>
      </c>
      <c r="D30" s="12">
        <v>2</v>
      </c>
      <c r="E30" s="32">
        <f t="shared" ref="E30:E33" si="2">C30*D30</f>
        <v>210</v>
      </c>
    </row>
    <row r="31" spans="1:5" x14ac:dyDescent="0.35">
      <c r="A31" s="6" t="s">
        <v>34</v>
      </c>
      <c r="B31" s="11" t="s">
        <v>35</v>
      </c>
      <c r="C31" s="20">
        <v>200</v>
      </c>
      <c r="D31" s="12">
        <v>2</v>
      </c>
      <c r="E31" s="32">
        <f t="shared" si="2"/>
        <v>400</v>
      </c>
    </row>
    <row r="32" spans="1:5" x14ac:dyDescent="0.35">
      <c r="A32" s="6" t="s">
        <v>36</v>
      </c>
      <c r="B32" s="11" t="s">
        <v>37</v>
      </c>
      <c r="C32" s="20">
        <v>300</v>
      </c>
      <c r="D32" s="12">
        <v>1</v>
      </c>
      <c r="E32" s="32">
        <f t="shared" si="2"/>
        <v>300</v>
      </c>
    </row>
    <row r="33" spans="1:5" x14ac:dyDescent="0.35">
      <c r="A33" s="6" t="s">
        <v>38</v>
      </c>
      <c r="B33" s="11" t="s">
        <v>39</v>
      </c>
      <c r="C33" s="20">
        <v>550</v>
      </c>
      <c r="D33" s="12">
        <v>1</v>
      </c>
      <c r="E33" s="32">
        <f t="shared" si="2"/>
        <v>550</v>
      </c>
    </row>
    <row r="34" spans="1:5" ht="8.5" customHeight="1" x14ac:dyDescent="0.35">
      <c r="A34" s="7"/>
      <c r="B34" s="13"/>
      <c r="C34" s="21"/>
      <c r="D34" s="14"/>
      <c r="E34" s="33"/>
    </row>
    <row r="35" spans="1:5" x14ac:dyDescent="0.35">
      <c r="A35" s="6" t="s">
        <v>40</v>
      </c>
      <c r="B35" s="15" t="s">
        <v>41</v>
      </c>
      <c r="C35" s="20">
        <v>35</v>
      </c>
      <c r="D35" s="12">
        <v>10</v>
      </c>
      <c r="E35" s="32">
        <f>C35*D35</f>
        <v>350</v>
      </c>
    </row>
    <row r="36" spans="1:5" ht="8.5" customHeight="1" x14ac:dyDescent="0.35">
      <c r="A36" s="8"/>
      <c r="B36" s="16"/>
      <c r="C36" s="8"/>
      <c r="D36" s="17"/>
      <c r="E36" s="34"/>
    </row>
    <row r="37" spans="1:5" ht="27" customHeight="1" x14ac:dyDescent="0.35">
      <c r="A37" s="66" t="s">
        <v>42</v>
      </c>
      <c r="B37" s="66"/>
      <c r="C37" s="66"/>
      <c r="D37" s="66"/>
      <c r="E37" s="66"/>
    </row>
    <row r="38" spans="1:5" ht="22.9" customHeight="1" x14ac:dyDescent="0.35">
      <c r="A38" s="6" t="s">
        <v>43</v>
      </c>
      <c r="B38" s="11" t="s">
        <v>31</v>
      </c>
      <c r="C38" s="20">
        <v>45</v>
      </c>
      <c r="D38" s="12">
        <v>1</v>
      </c>
      <c r="E38" s="32">
        <f>C38*D38</f>
        <v>45</v>
      </c>
    </row>
    <row r="39" spans="1:5" ht="28.5" customHeight="1" x14ac:dyDescent="0.35">
      <c r="A39" s="6" t="s">
        <v>44</v>
      </c>
      <c r="B39" s="11" t="s">
        <v>33</v>
      </c>
      <c r="C39" s="20">
        <v>100</v>
      </c>
      <c r="D39" s="12">
        <v>2</v>
      </c>
      <c r="E39" s="32">
        <f t="shared" ref="E39:E42" si="3">C39*D39</f>
        <v>200</v>
      </c>
    </row>
    <row r="40" spans="1:5" x14ac:dyDescent="0.35">
      <c r="A40" s="6" t="s">
        <v>45</v>
      </c>
      <c r="B40" s="11" t="s">
        <v>35</v>
      </c>
      <c r="C40" s="20">
        <v>200</v>
      </c>
      <c r="D40" s="12">
        <v>2</v>
      </c>
      <c r="E40" s="32">
        <f t="shared" si="3"/>
        <v>400</v>
      </c>
    </row>
    <row r="41" spans="1:5" x14ac:dyDescent="0.35">
      <c r="A41" s="6" t="s">
        <v>46</v>
      </c>
      <c r="B41" s="11" t="s">
        <v>37</v>
      </c>
      <c r="C41" s="20">
        <v>450</v>
      </c>
      <c r="D41" s="12">
        <v>1</v>
      </c>
      <c r="E41" s="32">
        <f t="shared" si="3"/>
        <v>450</v>
      </c>
    </row>
    <row r="42" spans="1:5" x14ac:dyDescent="0.35">
      <c r="A42" s="6" t="s">
        <v>47</v>
      </c>
      <c r="B42" s="11" t="s">
        <v>39</v>
      </c>
      <c r="C42" s="20">
        <v>620</v>
      </c>
      <c r="D42" s="12">
        <v>1</v>
      </c>
      <c r="E42" s="32">
        <f t="shared" si="3"/>
        <v>620</v>
      </c>
    </row>
    <row r="43" spans="1:5" ht="28.15" customHeight="1" x14ac:dyDescent="0.35">
      <c r="A43" s="74" t="s">
        <v>48</v>
      </c>
      <c r="B43" s="75"/>
      <c r="C43" s="75"/>
      <c r="D43" s="75"/>
      <c r="E43" s="76"/>
    </row>
    <row r="44" spans="1:5" x14ac:dyDescent="0.35">
      <c r="A44" s="6" t="s">
        <v>49</v>
      </c>
      <c r="B44" s="11" t="s">
        <v>11</v>
      </c>
      <c r="C44" s="20">
        <v>25</v>
      </c>
      <c r="D44" s="12">
        <v>2</v>
      </c>
      <c r="E44" s="32">
        <f>C44*D44</f>
        <v>50</v>
      </c>
    </row>
    <row r="45" spans="1:5" x14ac:dyDescent="0.35">
      <c r="A45" s="6" t="s">
        <v>50</v>
      </c>
      <c r="B45" s="11" t="s">
        <v>13</v>
      </c>
      <c r="C45" s="20">
        <v>29</v>
      </c>
      <c r="D45" s="12">
        <v>3</v>
      </c>
      <c r="E45" s="32">
        <f t="shared" ref="E45:E48" si="4">C45*D45</f>
        <v>87</v>
      </c>
    </row>
    <row r="46" spans="1:5" x14ac:dyDescent="0.35">
      <c r="A46" s="6" t="s">
        <v>51</v>
      </c>
      <c r="B46" s="11" t="s">
        <v>15</v>
      </c>
      <c r="C46" s="20">
        <v>35</v>
      </c>
      <c r="D46" s="12">
        <v>2</v>
      </c>
      <c r="E46" s="32">
        <f t="shared" si="4"/>
        <v>70</v>
      </c>
    </row>
    <row r="47" spans="1:5" x14ac:dyDescent="0.35">
      <c r="A47" s="6" t="s">
        <v>52</v>
      </c>
      <c r="B47" s="11" t="s">
        <v>17</v>
      </c>
      <c r="C47" s="20">
        <v>40</v>
      </c>
      <c r="D47" s="12">
        <v>3</v>
      </c>
      <c r="E47" s="32">
        <f t="shared" si="4"/>
        <v>120</v>
      </c>
    </row>
    <row r="48" spans="1:5" x14ac:dyDescent="0.35">
      <c r="A48" s="6" t="s">
        <v>53</v>
      </c>
      <c r="B48" s="11" t="s">
        <v>28</v>
      </c>
      <c r="C48" s="20">
        <v>43</v>
      </c>
      <c r="D48" s="12">
        <v>2</v>
      </c>
      <c r="E48" s="32">
        <f t="shared" si="4"/>
        <v>86</v>
      </c>
    </row>
    <row r="49" spans="1:5" x14ac:dyDescent="0.35">
      <c r="A49" s="8"/>
      <c r="B49" s="16"/>
      <c r="C49" s="8"/>
      <c r="D49" s="17"/>
      <c r="E49" s="34"/>
    </row>
    <row r="50" spans="1:5" x14ac:dyDescent="0.35">
      <c r="A50" s="8"/>
      <c r="B50" s="16"/>
      <c r="C50" s="8"/>
      <c r="D50" s="17"/>
      <c r="E50" s="34"/>
    </row>
    <row r="51" spans="1:5" x14ac:dyDescent="0.35">
      <c r="A51" s="22" t="s">
        <v>54</v>
      </c>
      <c r="B51" s="77" t="s">
        <v>55</v>
      </c>
      <c r="C51" s="78"/>
      <c r="D51" s="78"/>
      <c r="E51" s="79"/>
    </row>
    <row r="52" spans="1:5" x14ac:dyDescent="0.35">
      <c r="A52" s="80" t="s">
        <v>56</v>
      </c>
      <c r="B52" s="80"/>
      <c r="C52" s="80"/>
      <c r="D52" s="80"/>
      <c r="E52" s="80"/>
    </row>
    <row r="53" spans="1:5" ht="16.5" customHeight="1" x14ac:dyDescent="0.35">
      <c r="A53" s="6" t="s">
        <v>57</v>
      </c>
      <c r="B53" s="11" t="s">
        <v>11</v>
      </c>
      <c r="C53" s="20">
        <v>40</v>
      </c>
      <c r="D53" s="12">
        <v>1</v>
      </c>
      <c r="E53" s="32">
        <f>C53*D53</f>
        <v>40</v>
      </c>
    </row>
    <row r="54" spans="1:5" ht="28.5" customHeight="1" x14ac:dyDescent="0.35">
      <c r="A54" s="6" t="s">
        <v>58</v>
      </c>
      <c r="B54" s="11" t="s">
        <v>13</v>
      </c>
      <c r="C54" s="20">
        <v>41</v>
      </c>
      <c r="D54" s="12">
        <v>2</v>
      </c>
      <c r="E54" s="32">
        <f t="shared" ref="E54:E58" si="5">C54*D54</f>
        <v>82</v>
      </c>
    </row>
    <row r="55" spans="1:5" x14ac:dyDescent="0.35">
      <c r="A55" s="6" t="s">
        <v>59</v>
      </c>
      <c r="B55" s="11" t="s">
        <v>15</v>
      </c>
      <c r="C55" s="20">
        <v>42</v>
      </c>
      <c r="D55" s="12">
        <v>4</v>
      </c>
      <c r="E55" s="32">
        <f t="shared" si="5"/>
        <v>168</v>
      </c>
    </row>
    <row r="56" spans="1:5" x14ac:dyDescent="0.35">
      <c r="A56" s="6" t="s">
        <v>60</v>
      </c>
      <c r="B56" s="11" t="s">
        <v>17</v>
      </c>
      <c r="C56" s="20">
        <v>45</v>
      </c>
      <c r="D56" s="12">
        <v>7</v>
      </c>
      <c r="E56" s="32">
        <f t="shared" si="5"/>
        <v>315</v>
      </c>
    </row>
    <row r="57" spans="1:5" x14ac:dyDescent="0.35">
      <c r="A57" s="6" t="s">
        <v>61</v>
      </c>
      <c r="B57" s="11" t="s">
        <v>19</v>
      </c>
      <c r="C57" s="20">
        <v>49</v>
      </c>
      <c r="D57" s="12">
        <v>4</v>
      </c>
      <c r="E57" s="32">
        <f t="shared" si="5"/>
        <v>196</v>
      </c>
    </row>
    <row r="58" spans="1:5" x14ac:dyDescent="0.35">
      <c r="A58" s="6" t="s">
        <v>62</v>
      </c>
      <c r="B58" s="11" t="s">
        <v>21</v>
      </c>
      <c r="C58" s="20">
        <v>55</v>
      </c>
      <c r="D58" s="12">
        <v>2</v>
      </c>
      <c r="E58" s="32">
        <f t="shared" si="5"/>
        <v>110</v>
      </c>
    </row>
    <row r="59" spans="1:5" x14ac:dyDescent="0.35">
      <c r="A59" s="80" t="s">
        <v>63</v>
      </c>
      <c r="B59" s="80"/>
      <c r="C59" s="80"/>
      <c r="D59" s="80"/>
      <c r="E59" s="80"/>
    </row>
    <row r="60" spans="1:5" x14ac:dyDescent="0.35">
      <c r="A60" s="6" t="s">
        <v>64</v>
      </c>
      <c r="B60" s="11" t="s">
        <v>11</v>
      </c>
      <c r="C60" s="20">
        <v>30</v>
      </c>
      <c r="D60" s="12">
        <v>13</v>
      </c>
      <c r="E60" s="32">
        <f>C60*D60</f>
        <v>390</v>
      </c>
    </row>
    <row r="61" spans="1:5" x14ac:dyDescent="0.35">
      <c r="A61" s="6" t="s">
        <v>65</v>
      </c>
      <c r="B61" s="11" t="s">
        <v>13</v>
      </c>
      <c r="C61" s="20">
        <v>35</v>
      </c>
      <c r="D61" s="12">
        <v>55</v>
      </c>
      <c r="E61" s="32">
        <f t="shared" ref="E61:E64" si="6">C61*D61</f>
        <v>1925</v>
      </c>
    </row>
    <row r="62" spans="1:5" x14ac:dyDescent="0.35">
      <c r="A62" s="6" t="s">
        <v>66</v>
      </c>
      <c r="B62" s="11" t="s">
        <v>15</v>
      </c>
      <c r="C62" s="20">
        <v>36</v>
      </c>
      <c r="D62" s="12">
        <v>153</v>
      </c>
      <c r="E62" s="32">
        <f t="shared" si="6"/>
        <v>5508</v>
      </c>
    </row>
    <row r="63" spans="1:5" x14ac:dyDescent="0.35">
      <c r="A63" s="6" t="s">
        <v>67</v>
      </c>
      <c r="B63" s="11" t="s">
        <v>17</v>
      </c>
      <c r="C63" s="20">
        <v>37</v>
      </c>
      <c r="D63" s="12">
        <v>101</v>
      </c>
      <c r="E63" s="32">
        <f t="shared" si="6"/>
        <v>3737</v>
      </c>
    </row>
    <row r="64" spans="1:5" x14ac:dyDescent="0.35">
      <c r="A64" s="6" t="s">
        <v>68</v>
      </c>
      <c r="B64" s="11" t="s">
        <v>28</v>
      </c>
      <c r="C64" s="20">
        <v>40</v>
      </c>
      <c r="D64" s="12">
        <v>17</v>
      </c>
      <c r="E64" s="32">
        <f t="shared" si="6"/>
        <v>680</v>
      </c>
    </row>
    <row r="65" spans="1:5" x14ac:dyDescent="0.35">
      <c r="A65" s="8"/>
      <c r="B65" s="16"/>
      <c r="C65" s="8"/>
      <c r="D65" s="17"/>
      <c r="E65" s="34"/>
    </row>
    <row r="66" spans="1:5" x14ac:dyDescent="0.35">
      <c r="A66" s="22" t="s">
        <v>69</v>
      </c>
      <c r="B66" s="81" t="s">
        <v>70</v>
      </c>
      <c r="C66" s="82"/>
      <c r="D66" s="82"/>
      <c r="E66" s="83"/>
    </row>
    <row r="67" spans="1:5" x14ac:dyDescent="0.35">
      <c r="A67" s="84" t="s">
        <v>56</v>
      </c>
      <c r="B67" s="84"/>
      <c r="C67" s="84"/>
      <c r="D67" s="84"/>
      <c r="E67" s="84"/>
    </row>
    <row r="68" spans="1:5" ht="16.149999999999999" customHeight="1" x14ac:dyDescent="0.35">
      <c r="A68" s="6" t="s">
        <v>71</v>
      </c>
      <c r="B68" s="11" t="s">
        <v>11</v>
      </c>
      <c r="C68" s="20">
        <v>40</v>
      </c>
      <c r="D68" s="12">
        <v>1</v>
      </c>
      <c r="E68" s="32">
        <f>C68*D68</f>
        <v>40</v>
      </c>
    </row>
    <row r="69" spans="1:5" ht="28.5" customHeight="1" x14ac:dyDescent="0.35">
      <c r="A69" s="6" t="s">
        <v>72</v>
      </c>
      <c r="B69" s="11" t="s">
        <v>13</v>
      </c>
      <c r="C69" s="20">
        <v>41</v>
      </c>
      <c r="D69" s="12">
        <v>2</v>
      </c>
      <c r="E69" s="32">
        <f t="shared" ref="E69:E73" si="7">C69*D69</f>
        <v>82</v>
      </c>
    </row>
    <row r="70" spans="1:5" x14ac:dyDescent="0.35">
      <c r="A70" s="6" t="s">
        <v>73</v>
      </c>
      <c r="B70" s="11" t="s">
        <v>15</v>
      </c>
      <c r="C70" s="20">
        <v>42</v>
      </c>
      <c r="D70" s="12">
        <v>2</v>
      </c>
      <c r="E70" s="32">
        <f t="shared" si="7"/>
        <v>84</v>
      </c>
    </row>
    <row r="71" spans="1:5" x14ac:dyDescent="0.35">
      <c r="A71" s="6" t="s">
        <v>74</v>
      </c>
      <c r="B71" s="11" t="s">
        <v>17</v>
      </c>
      <c r="C71" s="20">
        <v>50</v>
      </c>
      <c r="D71" s="12">
        <v>6</v>
      </c>
      <c r="E71" s="32">
        <f t="shared" si="7"/>
        <v>300</v>
      </c>
    </row>
    <row r="72" spans="1:5" x14ac:dyDescent="0.35">
      <c r="A72" s="6" t="s">
        <v>75</v>
      </c>
      <c r="B72" s="11" t="s">
        <v>19</v>
      </c>
      <c r="C72" s="20">
        <v>55</v>
      </c>
      <c r="D72" s="12">
        <v>4</v>
      </c>
      <c r="E72" s="32">
        <f t="shared" si="7"/>
        <v>220</v>
      </c>
    </row>
    <row r="73" spans="1:5" x14ac:dyDescent="0.35">
      <c r="A73" s="6" t="s">
        <v>76</v>
      </c>
      <c r="B73" s="11" t="s">
        <v>21</v>
      </c>
      <c r="C73" s="20">
        <v>60</v>
      </c>
      <c r="D73" s="12">
        <v>1</v>
      </c>
      <c r="E73" s="32">
        <f t="shared" si="7"/>
        <v>60</v>
      </c>
    </row>
    <row r="74" spans="1:5" x14ac:dyDescent="0.35">
      <c r="A74" s="84" t="s">
        <v>63</v>
      </c>
      <c r="B74" s="84"/>
      <c r="C74" s="84"/>
      <c r="D74" s="84"/>
      <c r="E74" s="84"/>
    </row>
    <row r="75" spans="1:5" x14ac:dyDescent="0.35">
      <c r="A75" s="6" t="s">
        <v>77</v>
      </c>
      <c r="B75" s="11" t="s">
        <v>11</v>
      </c>
      <c r="C75" s="20">
        <v>35</v>
      </c>
      <c r="D75" s="12">
        <v>2</v>
      </c>
      <c r="E75" s="32">
        <f>C75*D75</f>
        <v>70</v>
      </c>
    </row>
    <row r="76" spans="1:5" x14ac:dyDescent="0.35">
      <c r="A76" s="6" t="s">
        <v>78</v>
      </c>
      <c r="B76" s="11" t="s">
        <v>13</v>
      </c>
      <c r="C76" s="20">
        <v>36</v>
      </c>
      <c r="D76" s="12">
        <v>4</v>
      </c>
      <c r="E76" s="32">
        <f t="shared" ref="E76:E79" si="8">C76*D76</f>
        <v>144</v>
      </c>
    </row>
    <row r="77" spans="1:5" x14ac:dyDescent="0.35">
      <c r="A77" s="6" t="s">
        <v>79</v>
      </c>
      <c r="B77" s="11" t="s">
        <v>15</v>
      </c>
      <c r="C77" s="20">
        <v>37</v>
      </c>
      <c r="D77" s="12">
        <v>6</v>
      </c>
      <c r="E77" s="32">
        <f t="shared" si="8"/>
        <v>222</v>
      </c>
    </row>
    <row r="78" spans="1:5" x14ac:dyDescent="0.35">
      <c r="A78" s="6" t="s">
        <v>80</v>
      </c>
      <c r="B78" s="11" t="s">
        <v>17</v>
      </c>
      <c r="C78" s="20">
        <v>40</v>
      </c>
      <c r="D78" s="12">
        <v>6</v>
      </c>
      <c r="E78" s="32">
        <f t="shared" si="8"/>
        <v>240</v>
      </c>
    </row>
    <row r="79" spans="1:5" x14ac:dyDescent="0.35">
      <c r="A79" s="6" t="s">
        <v>81</v>
      </c>
      <c r="B79" s="11" t="s">
        <v>28</v>
      </c>
      <c r="C79" s="20">
        <v>45</v>
      </c>
      <c r="D79" s="12">
        <v>3</v>
      </c>
      <c r="E79" s="32">
        <f t="shared" si="8"/>
        <v>135</v>
      </c>
    </row>
    <row r="80" spans="1:5" x14ac:dyDescent="0.35">
      <c r="A80" s="8"/>
      <c r="B80" s="16"/>
      <c r="C80" s="8"/>
      <c r="D80" s="17"/>
      <c r="E80" s="34"/>
    </row>
    <row r="81" spans="1:5" x14ac:dyDescent="0.35">
      <c r="A81" s="6" t="s">
        <v>82</v>
      </c>
      <c r="B81" s="85" t="s">
        <v>83</v>
      </c>
      <c r="C81" s="85"/>
      <c r="D81" s="85"/>
      <c r="E81" s="85"/>
    </row>
    <row r="82" spans="1:5" x14ac:dyDescent="0.35">
      <c r="A82" s="73" t="s">
        <v>56</v>
      </c>
      <c r="B82" s="73"/>
      <c r="C82" s="73"/>
      <c r="D82" s="73"/>
      <c r="E82" s="73"/>
    </row>
    <row r="83" spans="1:5" ht="15.65" customHeight="1" x14ac:dyDescent="0.35">
      <c r="A83" s="6" t="s">
        <v>84</v>
      </c>
      <c r="B83" s="11" t="s">
        <v>11</v>
      </c>
      <c r="C83" s="20">
        <v>30</v>
      </c>
      <c r="D83" s="12">
        <v>1</v>
      </c>
      <c r="E83" s="32">
        <f>C83*D83</f>
        <v>30</v>
      </c>
    </row>
    <row r="84" spans="1:5" ht="28.5" customHeight="1" x14ac:dyDescent="0.35">
      <c r="A84" s="6" t="s">
        <v>85</v>
      </c>
      <c r="B84" s="11" t="s">
        <v>13</v>
      </c>
      <c r="C84" s="20">
        <v>31</v>
      </c>
      <c r="D84" s="12">
        <v>2</v>
      </c>
      <c r="E84" s="32">
        <f t="shared" ref="E84:E88" si="9">C84*D84</f>
        <v>62</v>
      </c>
    </row>
    <row r="85" spans="1:5" x14ac:dyDescent="0.35">
      <c r="A85" s="6" t="s">
        <v>86</v>
      </c>
      <c r="B85" s="11" t="s">
        <v>15</v>
      </c>
      <c r="C85" s="20">
        <v>32</v>
      </c>
      <c r="D85" s="12">
        <v>4</v>
      </c>
      <c r="E85" s="32">
        <f t="shared" si="9"/>
        <v>128</v>
      </c>
    </row>
    <row r="86" spans="1:5" x14ac:dyDescent="0.35">
      <c r="A86" s="6" t="s">
        <v>87</v>
      </c>
      <c r="B86" s="11" t="s">
        <v>17</v>
      </c>
      <c r="C86" s="20">
        <v>33</v>
      </c>
      <c r="D86" s="12">
        <v>8</v>
      </c>
      <c r="E86" s="32">
        <f t="shared" si="9"/>
        <v>264</v>
      </c>
    </row>
    <row r="87" spans="1:5" x14ac:dyDescent="0.35">
      <c r="A87" s="6" t="s">
        <v>88</v>
      </c>
      <c r="B87" s="11" t="s">
        <v>19</v>
      </c>
      <c r="C87" s="20">
        <v>34</v>
      </c>
      <c r="D87" s="12">
        <v>4</v>
      </c>
      <c r="E87" s="32">
        <f t="shared" si="9"/>
        <v>136</v>
      </c>
    </row>
    <row r="88" spans="1:5" x14ac:dyDescent="0.35">
      <c r="A88" s="6" t="s">
        <v>89</v>
      </c>
      <c r="B88" s="11" t="s">
        <v>21</v>
      </c>
      <c r="C88" s="20">
        <v>35</v>
      </c>
      <c r="D88" s="12">
        <v>2</v>
      </c>
      <c r="E88" s="32">
        <f t="shared" si="9"/>
        <v>70</v>
      </c>
    </row>
    <row r="89" spans="1:5" x14ac:dyDescent="0.35">
      <c r="A89" s="73" t="s">
        <v>63</v>
      </c>
      <c r="B89" s="73"/>
      <c r="C89" s="73"/>
      <c r="D89" s="73"/>
      <c r="E89" s="73"/>
    </row>
    <row r="90" spans="1:5" x14ac:dyDescent="0.35">
      <c r="A90" s="6" t="s">
        <v>90</v>
      </c>
      <c r="B90" s="11" t="s">
        <v>11</v>
      </c>
      <c r="C90" s="20">
        <v>25</v>
      </c>
      <c r="D90" s="12">
        <v>13</v>
      </c>
      <c r="E90" s="32">
        <f>C90*D90</f>
        <v>325</v>
      </c>
    </row>
    <row r="91" spans="1:5" x14ac:dyDescent="0.35">
      <c r="A91" s="6" t="s">
        <v>91</v>
      </c>
      <c r="B91" s="11" t="s">
        <v>13</v>
      </c>
      <c r="C91" s="20">
        <v>26</v>
      </c>
      <c r="D91" s="12">
        <v>55</v>
      </c>
      <c r="E91" s="32">
        <f>C91*D91</f>
        <v>1430</v>
      </c>
    </row>
    <row r="92" spans="1:5" x14ac:dyDescent="0.35">
      <c r="A92" s="6" t="s">
        <v>92</v>
      </c>
      <c r="B92" s="11" t="s">
        <v>15</v>
      </c>
      <c r="C92" s="20">
        <v>27</v>
      </c>
      <c r="D92" s="12">
        <v>153</v>
      </c>
      <c r="E92" s="32">
        <f>C92*D92</f>
        <v>4131</v>
      </c>
    </row>
    <row r="93" spans="1:5" x14ac:dyDescent="0.35">
      <c r="A93" s="6" t="s">
        <v>93</v>
      </c>
      <c r="B93" s="11" t="s">
        <v>17</v>
      </c>
      <c r="C93" s="20">
        <v>28</v>
      </c>
      <c r="D93" s="12">
        <v>101</v>
      </c>
      <c r="E93" s="32">
        <f>C93*D93</f>
        <v>2828</v>
      </c>
    </row>
    <row r="94" spans="1:5" x14ac:dyDescent="0.35">
      <c r="A94" s="6" t="s">
        <v>94</v>
      </c>
      <c r="B94" s="11" t="s">
        <v>28</v>
      </c>
      <c r="C94" s="20">
        <v>29</v>
      </c>
      <c r="D94" s="12">
        <v>17</v>
      </c>
      <c r="E94" s="32">
        <f>C94*D94</f>
        <v>493</v>
      </c>
    </row>
    <row r="95" spans="1:5" x14ac:dyDescent="0.35">
      <c r="A95" s="9"/>
      <c r="B95" s="16"/>
      <c r="C95" s="8"/>
      <c r="D95" s="17"/>
      <c r="E95" s="34"/>
    </row>
    <row r="96" spans="1:5" x14ac:dyDescent="0.35">
      <c r="A96" s="6" t="s">
        <v>95</v>
      </c>
      <c r="B96" s="89" t="s">
        <v>96</v>
      </c>
      <c r="C96" s="89"/>
      <c r="D96" s="89"/>
      <c r="E96" s="89"/>
    </row>
    <row r="97" spans="1:5" x14ac:dyDescent="0.35">
      <c r="A97" s="90" t="s">
        <v>56</v>
      </c>
      <c r="B97" s="90"/>
      <c r="C97" s="90"/>
      <c r="D97" s="90"/>
      <c r="E97" s="90"/>
    </row>
    <row r="98" spans="1:5" ht="13.15" customHeight="1" x14ac:dyDescent="0.35">
      <c r="A98" s="6" t="s">
        <v>97</v>
      </c>
      <c r="B98" s="11" t="s">
        <v>11</v>
      </c>
      <c r="C98" s="20">
        <v>35</v>
      </c>
      <c r="D98" s="12">
        <v>1</v>
      </c>
      <c r="E98" s="32">
        <f t="shared" ref="E98:E103" si="10">C98*D98</f>
        <v>35</v>
      </c>
    </row>
    <row r="99" spans="1:5" ht="28.5" customHeight="1" x14ac:dyDescent="0.35">
      <c r="A99" s="6" t="s">
        <v>98</v>
      </c>
      <c r="B99" s="11" t="s">
        <v>13</v>
      </c>
      <c r="C99" s="20">
        <v>36</v>
      </c>
      <c r="D99" s="12">
        <v>2</v>
      </c>
      <c r="E99" s="32">
        <f t="shared" si="10"/>
        <v>72</v>
      </c>
    </row>
    <row r="100" spans="1:5" x14ac:dyDescent="0.35">
      <c r="A100" s="6" t="s">
        <v>99</v>
      </c>
      <c r="B100" s="11" t="s">
        <v>15</v>
      </c>
      <c r="C100" s="20">
        <v>37</v>
      </c>
      <c r="D100" s="12">
        <v>2</v>
      </c>
      <c r="E100" s="32">
        <f t="shared" si="10"/>
        <v>74</v>
      </c>
    </row>
    <row r="101" spans="1:5" ht="22.15" customHeight="1" x14ac:dyDescent="0.35">
      <c r="A101" s="6" t="s">
        <v>100</v>
      </c>
      <c r="B101" s="11" t="s">
        <v>17</v>
      </c>
      <c r="C101" s="20">
        <v>38</v>
      </c>
      <c r="D101" s="12">
        <v>6</v>
      </c>
      <c r="E101" s="32">
        <f t="shared" si="10"/>
        <v>228</v>
      </c>
    </row>
    <row r="102" spans="1:5" ht="28.5" customHeight="1" x14ac:dyDescent="0.35">
      <c r="A102" s="6" t="s">
        <v>101</v>
      </c>
      <c r="B102" s="11" t="s">
        <v>19</v>
      </c>
      <c r="C102" s="20">
        <v>39</v>
      </c>
      <c r="D102" s="12">
        <v>4</v>
      </c>
      <c r="E102" s="32">
        <f t="shared" si="10"/>
        <v>156</v>
      </c>
    </row>
    <row r="103" spans="1:5" x14ac:dyDescent="0.35">
      <c r="A103" s="6" t="s">
        <v>102</v>
      </c>
      <c r="B103" s="11" t="s">
        <v>21</v>
      </c>
      <c r="C103" s="20">
        <v>40</v>
      </c>
      <c r="D103" s="12">
        <v>1</v>
      </c>
      <c r="E103" s="32">
        <f t="shared" si="10"/>
        <v>40</v>
      </c>
    </row>
    <row r="104" spans="1:5" x14ac:dyDescent="0.35">
      <c r="A104" s="90" t="s">
        <v>63</v>
      </c>
      <c r="B104" s="90"/>
      <c r="C104" s="90"/>
      <c r="D104" s="90"/>
      <c r="E104" s="90"/>
    </row>
    <row r="105" spans="1:5" x14ac:dyDescent="0.35">
      <c r="A105" s="6" t="s">
        <v>103</v>
      </c>
      <c r="B105" s="11" t="s">
        <v>11</v>
      </c>
      <c r="C105" s="20">
        <v>28</v>
      </c>
      <c r="D105" s="12">
        <v>2</v>
      </c>
      <c r="E105" s="32">
        <f>C105*D105</f>
        <v>56</v>
      </c>
    </row>
    <row r="106" spans="1:5" x14ac:dyDescent="0.35">
      <c r="A106" s="6" t="s">
        <v>104</v>
      </c>
      <c r="B106" s="11" t="s">
        <v>13</v>
      </c>
      <c r="C106" s="20">
        <v>29</v>
      </c>
      <c r="D106" s="12">
        <v>4</v>
      </c>
      <c r="E106" s="32">
        <f>C106*D106</f>
        <v>116</v>
      </c>
    </row>
    <row r="107" spans="1:5" x14ac:dyDescent="0.35">
      <c r="A107" s="6" t="s">
        <v>105</v>
      </c>
      <c r="B107" s="11" t="s">
        <v>15</v>
      </c>
      <c r="C107" s="20">
        <v>30</v>
      </c>
      <c r="D107" s="12">
        <v>6</v>
      </c>
      <c r="E107" s="32">
        <f>C107*D107</f>
        <v>180</v>
      </c>
    </row>
    <row r="108" spans="1:5" x14ac:dyDescent="0.35">
      <c r="A108" s="6" t="s">
        <v>106</v>
      </c>
      <c r="B108" s="11" t="s">
        <v>17</v>
      </c>
      <c r="C108" s="20">
        <v>31</v>
      </c>
      <c r="D108" s="12">
        <v>6</v>
      </c>
      <c r="E108" s="32">
        <f>C108*D108</f>
        <v>186</v>
      </c>
    </row>
    <row r="109" spans="1:5" x14ac:dyDescent="0.35">
      <c r="A109" s="6" t="s">
        <v>107</v>
      </c>
      <c r="B109" s="11" t="s">
        <v>28</v>
      </c>
      <c r="C109" s="20">
        <v>32</v>
      </c>
      <c r="D109" s="12">
        <v>3</v>
      </c>
      <c r="E109" s="32">
        <f>C109*D109</f>
        <v>96</v>
      </c>
    </row>
    <row r="110" spans="1:5" x14ac:dyDescent="0.35">
      <c r="A110" s="9"/>
      <c r="B110" s="16"/>
      <c r="C110" s="8"/>
      <c r="D110" s="17"/>
      <c r="E110" s="32"/>
    </row>
    <row r="111" spans="1:5" x14ac:dyDescent="0.35">
      <c r="A111" s="6" t="s">
        <v>108</v>
      </c>
      <c r="B111" s="91" t="s">
        <v>109</v>
      </c>
      <c r="C111" s="91"/>
      <c r="D111" s="91"/>
      <c r="E111" s="91"/>
    </row>
    <row r="112" spans="1:5" x14ac:dyDescent="0.35">
      <c r="A112" s="6" t="s">
        <v>110</v>
      </c>
      <c r="B112" s="18" t="s">
        <v>111</v>
      </c>
      <c r="C112" s="20">
        <v>12</v>
      </c>
      <c r="D112" s="12">
        <v>360</v>
      </c>
      <c r="E112" s="32">
        <f>C112*D112</f>
        <v>4320</v>
      </c>
    </row>
    <row r="113" spans="1:5" x14ac:dyDescent="0.35">
      <c r="A113" s="9"/>
      <c r="B113" s="16"/>
      <c r="C113" s="8"/>
      <c r="D113" s="17"/>
      <c r="E113" s="34"/>
    </row>
    <row r="114" spans="1:5" ht="19.899999999999999" customHeight="1" x14ac:dyDescent="0.35">
      <c r="A114" s="6" t="s">
        <v>112</v>
      </c>
      <c r="B114" s="92" t="s">
        <v>113</v>
      </c>
      <c r="C114" s="92"/>
      <c r="D114" s="92"/>
      <c r="E114" s="92"/>
    </row>
    <row r="115" spans="1:5" ht="28.5" customHeight="1" x14ac:dyDescent="0.35">
      <c r="A115" s="93" t="s">
        <v>114</v>
      </c>
      <c r="B115" s="93"/>
      <c r="C115" s="93"/>
      <c r="D115" s="93"/>
      <c r="E115" s="93"/>
    </row>
    <row r="116" spans="1:5" x14ac:dyDescent="0.35">
      <c r="A116" s="6" t="s">
        <v>115</v>
      </c>
      <c r="B116" s="11" t="s">
        <v>11</v>
      </c>
      <c r="C116" s="20">
        <v>35</v>
      </c>
      <c r="D116" s="12">
        <v>2</v>
      </c>
      <c r="E116" s="32">
        <f t="shared" ref="E116:E121" si="11">C116*D116</f>
        <v>70</v>
      </c>
    </row>
    <row r="117" spans="1:5" x14ac:dyDescent="0.35">
      <c r="A117" s="6" t="s">
        <v>116</v>
      </c>
      <c r="B117" s="11" t="s">
        <v>13</v>
      </c>
      <c r="C117" s="20">
        <v>36</v>
      </c>
      <c r="D117" s="12">
        <v>5</v>
      </c>
      <c r="E117" s="32">
        <f t="shared" si="11"/>
        <v>180</v>
      </c>
    </row>
    <row r="118" spans="1:5" x14ac:dyDescent="0.35">
      <c r="A118" s="6" t="s">
        <v>117</v>
      </c>
      <c r="B118" s="11" t="s">
        <v>15</v>
      </c>
      <c r="C118" s="20">
        <v>37</v>
      </c>
      <c r="D118" s="12">
        <v>6</v>
      </c>
      <c r="E118" s="32">
        <f t="shared" si="11"/>
        <v>222</v>
      </c>
    </row>
    <row r="119" spans="1:5" x14ac:dyDescent="0.35">
      <c r="A119" s="6" t="s">
        <v>118</v>
      </c>
      <c r="B119" s="11" t="s">
        <v>17</v>
      </c>
      <c r="C119" s="20">
        <v>45</v>
      </c>
      <c r="D119" s="12">
        <v>6</v>
      </c>
      <c r="E119" s="32">
        <f t="shared" si="11"/>
        <v>270</v>
      </c>
    </row>
    <row r="120" spans="1:5" x14ac:dyDescent="0.35">
      <c r="A120" s="6" t="s">
        <v>119</v>
      </c>
      <c r="B120" s="11" t="s">
        <v>19</v>
      </c>
      <c r="C120" s="20">
        <v>46</v>
      </c>
      <c r="D120" s="12">
        <v>6</v>
      </c>
      <c r="E120" s="32">
        <f t="shared" si="11"/>
        <v>276</v>
      </c>
    </row>
    <row r="121" spans="1:5" x14ac:dyDescent="0.35">
      <c r="A121" s="6" t="s">
        <v>120</v>
      </c>
      <c r="B121" s="11" t="s">
        <v>21</v>
      </c>
      <c r="C121" s="20">
        <v>47</v>
      </c>
      <c r="D121" s="12">
        <v>5</v>
      </c>
      <c r="E121" s="32">
        <f t="shared" si="11"/>
        <v>235</v>
      </c>
    </row>
    <row r="122" spans="1:5" x14ac:dyDescent="0.35">
      <c r="A122" s="93" t="s">
        <v>121</v>
      </c>
      <c r="B122" s="93"/>
      <c r="C122" s="93"/>
      <c r="D122" s="93"/>
      <c r="E122" s="93"/>
    </row>
    <row r="123" spans="1:5" x14ac:dyDescent="0.35">
      <c r="A123" s="6" t="s">
        <v>122</v>
      </c>
      <c r="B123" s="11" t="s">
        <v>123</v>
      </c>
      <c r="C123" s="20">
        <v>65</v>
      </c>
      <c r="D123" s="12">
        <v>4</v>
      </c>
      <c r="E123" s="32">
        <f>C123*D123</f>
        <v>260</v>
      </c>
    </row>
    <row r="124" spans="1:5" x14ac:dyDescent="0.35">
      <c r="A124" s="6" t="s">
        <v>124</v>
      </c>
      <c r="B124" s="11" t="s">
        <v>125</v>
      </c>
      <c r="C124" s="20">
        <v>130</v>
      </c>
      <c r="D124" s="12">
        <v>3</v>
      </c>
      <c r="E124" s="32">
        <f>C124*D124</f>
        <v>390</v>
      </c>
    </row>
    <row r="125" spans="1:5" x14ac:dyDescent="0.35">
      <c r="A125" s="6" t="s">
        <v>126</v>
      </c>
      <c r="B125" s="11" t="s">
        <v>127</v>
      </c>
      <c r="C125" s="20">
        <v>200</v>
      </c>
      <c r="D125" s="12">
        <v>1</v>
      </c>
      <c r="E125" s="32">
        <f>C125*D125</f>
        <v>200</v>
      </c>
    </row>
    <row r="126" spans="1:5" ht="8.5" customHeight="1" x14ac:dyDescent="0.35">
      <c r="A126" s="9"/>
      <c r="B126" s="9"/>
      <c r="C126" s="9"/>
      <c r="D126" s="19"/>
      <c r="E126" s="35"/>
    </row>
    <row r="127" spans="1:5" ht="28.5" customHeight="1" x14ac:dyDescent="0.35">
      <c r="A127" s="6" t="s">
        <v>128</v>
      </c>
      <c r="B127" s="94" t="s">
        <v>402</v>
      </c>
      <c r="C127" s="95"/>
      <c r="D127" s="95"/>
      <c r="E127" s="96"/>
    </row>
    <row r="128" spans="1:5" ht="13.9" customHeight="1" x14ac:dyDescent="0.35">
      <c r="A128" s="97" t="s">
        <v>403</v>
      </c>
      <c r="B128" s="98"/>
      <c r="C128" s="98"/>
      <c r="D128" s="98"/>
      <c r="E128" s="99"/>
    </row>
    <row r="129" spans="1:5" x14ac:dyDescent="0.35">
      <c r="A129" s="6" t="s">
        <v>129</v>
      </c>
      <c r="B129" s="11" t="s">
        <v>130</v>
      </c>
      <c r="C129" s="20">
        <v>950</v>
      </c>
      <c r="D129" s="12">
        <v>2</v>
      </c>
      <c r="E129" s="32">
        <f>C129*D129</f>
        <v>1900</v>
      </c>
    </row>
    <row r="130" spans="1:5" x14ac:dyDescent="0.35">
      <c r="A130" s="6" t="s">
        <v>131</v>
      </c>
      <c r="B130" s="11" t="s">
        <v>132</v>
      </c>
      <c r="C130" s="20">
        <v>1500</v>
      </c>
      <c r="D130" s="12">
        <v>3</v>
      </c>
      <c r="E130" s="32">
        <f>C130*D130</f>
        <v>4500</v>
      </c>
    </row>
    <row r="131" spans="1:5" x14ac:dyDescent="0.35">
      <c r="A131" s="6" t="s">
        <v>133</v>
      </c>
      <c r="B131" s="11" t="s">
        <v>134</v>
      </c>
      <c r="C131" s="20">
        <v>2250</v>
      </c>
      <c r="D131" s="12">
        <v>5</v>
      </c>
      <c r="E131" s="32">
        <f>C131*D131</f>
        <v>11250</v>
      </c>
    </row>
    <row r="132" spans="1:5" x14ac:dyDescent="0.35">
      <c r="A132" s="6" t="s">
        <v>135</v>
      </c>
      <c r="B132" s="11" t="s">
        <v>136</v>
      </c>
      <c r="C132" s="20">
        <v>2450</v>
      </c>
      <c r="D132" s="12">
        <v>2</v>
      </c>
      <c r="E132" s="32">
        <f>C132*D132</f>
        <v>4900</v>
      </c>
    </row>
    <row r="133" spans="1:5" ht="13.9" customHeight="1" x14ac:dyDescent="0.35">
      <c r="A133" s="97" t="s">
        <v>404</v>
      </c>
      <c r="B133" s="98"/>
      <c r="C133" s="98"/>
      <c r="D133" s="98"/>
      <c r="E133" s="99"/>
    </row>
    <row r="134" spans="1:5" x14ac:dyDescent="0.35">
      <c r="A134" s="6" t="s">
        <v>138</v>
      </c>
      <c r="B134" s="11" t="s">
        <v>130</v>
      </c>
      <c r="C134" s="20">
        <v>650</v>
      </c>
      <c r="D134" s="12">
        <v>1</v>
      </c>
      <c r="E134" s="32">
        <f>C134*D134</f>
        <v>650</v>
      </c>
    </row>
    <row r="135" spans="1:5" x14ac:dyDescent="0.35">
      <c r="A135" s="6" t="s">
        <v>139</v>
      </c>
      <c r="B135" s="11" t="s">
        <v>132</v>
      </c>
      <c r="C135" s="20">
        <v>1300</v>
      </c>
      <c r="D135" s="12">
        <v>1</v>
      </c>
      <c r="E135" s="32">
        <f>C135*D135</f>
        <v>1300</v>
      </c>
    </row>
    <row r="136" spans="1:5" x14ac:dyDescent="0.35">
      <c r="A136" s="6" t="s">
        <v>141</v>
      </c>
      <c r="B136" s="11" t="s">
        <v>134</v>
      </c>
      <c r="C136" s="20">
        <v>1900</v>
      </c>
      <c r="D136" s="12">
        <v>1</v>
      </c>
      <c r="E136" s="32">
        <f>C136*D136</f>
        <v>1900</v>
      </c>
    </row>
    <row r="137" spans="1:5" x14ac:dyDescent="0.35">
      <c r="A137" s="6" t="s">
        <v>143</v>
      </c>
      <c r="B137" s="11" t="s">
        <v>136</v>
      </c>
      <c r="C137" s="20">
        <v>2100</v>
      </c>
      <c r="D137" s="12">
        <v>1</v>
      </c>
      <c r="E137" s="32">
        <f>C137*D137</f>
        <v>2100</v>
      </c>
    </row>
    <row r="138" spans="1:5" x14ac:dyDescent="0.35">
      <c r="A138" s="9"/>
      <c r="B138" s="16"/>
      <c r="C138" s="8"/>
      <c r="D138" s="17"/>
      <c r="E138" s="34"/>
    </row>
    <row r="139" spans="1:5" ht="28.5" customHeight="1" x14ac:dyDescent="0.35">
      <c r="A139" s="6" t="s">
        <v>145</v>
      </c>
      <c r="B139" s="86" t="s">
        <v>146</v>
      </c>
      <c r="C139" s="87"/>
      <c r="D139" s="87"/>
      <c r="E139" s="88"/>
    </row>
    <row r="140" spans="1:5" ht="15" customHeight="1" x14ac:dyDescent="0.35">
      <c r="A140" s="103" t="s">
        <v>147</v>
      </c>
      <c r="B140" s="103"/>
      <c r="C140" s="103"/>
      <c r="D140" s="103"/>
      <c r="E140" s="103"/>
    </row>
    <row r="141" spans="1:5" x14ac:dyDescent="0.35">
      <c r="A141" s="6" t="s">
        <v>148</v>
      </c>
      <c r="B141" s="11" t="s">
        <v>149</v>
      </c>
      <c r="C141" s="20">
        <v>120</v>
      </c>
      <c r="D141" s="12">
        <v>1</v>
      </c>
      <c r="E141" s="32">
        <f>C141*D141</f>
        <v>120</v>
      </c>
    </row>
    <row r="142" spans="1:5" x14ac:dyDescent="0.35">
      <c r="A142" s="6" t="s">
        <v>150</v>
      </c>
      <c r="B142" s="11" t="s">
        <v>33</v>
      </c>
      <c r="C142" s="20">
        <v>130</v>
      </c>
      <c r="D142" s="12">
        <v>1</v>
      </c>
      <c r="E142" s="32">
        <f>C142*D142</f>
        <v>130</v>
      </c>
    </row>
    <row r="143" spans="1:5" x14ac:dyDescent="0.35">
      <c r="A143" s="6" t="s">
        <v>151</v>
      </c>
      <c r="B143" s="11" t="s">
        <v>35</v>
      </c>
      <c r="C143" s="20">
        <v>140</v>
      </c>
      <c r="D143" s="12">
        <v>1</v>
      </c>
      <c r="E143" s="32">
        <f>C143*D143</f>
        <v>140</v>
      </c>
    </row>
    <row r="144" spans="1:5" x14ac:dyDescent="0.35">
      <c r="A144" s="6" t="s">
        <v>152</v>
      </c>
      <c r="B144" s="11" t="s">
        <v>153</v>
      </c>
      <c r="C144" s="20">
        <v>190</v>
      </c>
      <c r="D144" s="12">
        <v>1</v>
      </c>
      <c r="E144" s="32">
        <f>C144*D144</f>
        <v>190</v>
      </c>
    </row>
    <row r="145" spans="1:5" x14ac:dyDescent="0.35">
      <c r="A145" s="103" t="s">
        <v>137</v>
      </c>
      <c r="B145" s="103"/>
      <c r="C145" s="103"/>
      <c r="D145" s="103"/>
      <c r="E145" s="103"/>
    </row>
    <row r="146" spans="1:5" x14ac:dyDescent="0.35">
      <c r="A146" s="6" t="s">
        <v>154</v>
      </c>
      <c r="B146" s="11" t="s">
        <v>123</v>
      </c>
      <c r="C146" s="20">
        <v>120</v>
      </c>
      <c r="D146" s="12">
        <v>1</v>
      </c>
      <c r="E146" s="32">
        <f>C146*D146</f>
        <v>120</v>
      </c>
    </row>
    <row r="147" spans="1:5" ht="30.75" customHeight="1" x14ac:dyDescent="0.35">
      <c r="A147" s="6" t="s">
        <v>155</v>
      </c>
      <c r="B147" s="11" t="s">
        <v>140</v>
      </c>
      <c r="C147" s="20">
        <v>130</v>
      </c>
      <c r="D147" s="12">
        <v>1</v>
      </c>
      <c r="E147" s="32">
        <f>C147*D147</f>
        <v>130</v>
      </c>
    </row>
    <row r="148" spans="1:5" x14ac:dyDescent="0.35">
      <c r="A148" s="6" t="s">
        <v>156</v>
      </c>
      <c r="B148" s="11" t="s">
        <v>142</v>
      </c>
      <c r="C148" s="20">
        <v>140</v>
      </c>
      <c r="D148" s="12">
        <v>1</v>
      </c>
      <c r="E148" s="32">
        <f>C148*D148</f>
        <v>140</v>
      </c>
    </row>
    <row r="149" spans="1:5" x14ac:dyDescent="0.35">
      <c r="A149" s="6" t="s">
        <v>157</v>
      </c>
      <c r="B149" s="11" t="s">
        <v>144</v>
      </c>
      <c r="C149" s="20">
        <v>190</v>
      </c>
      <c r="D149" s="12">
        <v>1</v>
      </c>
      <c r="E149" s="32">
        <f>C149*D149</f>
        <v>190</v>
      </c>
    </row>
    <row r="150" spans="1:5" x14ac:dyDescent="0.35">
      <c r="A150" s="9"/>
      <c r="B150" s="16"/>
      <c r="C150" s="8"/>
      <c r="D150" s="17"/>
      <c r="E150" s="34"/>
    </row>
    <row r="151" spans="1:5" x14ac:dyDescent="0.35">
      <c r="A151" s="104" t="s">
        <v>158</v>
      </c>
      <c r="B151" s="106" t="s">
        <v>159</v>
      </c>
      <c r="C151" s="107"/>
      <c r="D151" s="107"/>
      <c r="E151" s="108"/>
    </row>
    <row r="152" spans="1:5" x14ac:dyDescent="0.35">
      <c r="A152" s="105"/>
      <c r="B152" s="109"/>
      <c r="C152" s="110"/>
      <c r="D152" s="110"/>
      <c r="E152" s="111"/>
    </row>
    <row r="153" spans="1:5" x14ac:dyDescent="0.35">
      <c r="A153" s="112" t="s">
        <v>9</v>
      </c>
      <c r="B153" s="112"/>
      <c r="C153" s="112"/>
      <c r="D153" s="112"/>
      <c r="E153" s="112"/>
    </row>
    <row r="154" spans="1:5" x14ac:dyDescent="0.35">
      <c r="A154" s="36" t="s">
        <v>160</v>
      </c>
      <c r="B154" s="27" t="s">
        <v>11</v>
      </c>
      <c r="C154" s="20">
        <v>40</v>
      </c>
      <c r="D154" s="12">
        <v>5</v>
      </c>
      <c r="E154" s="32">
        <f t="shared" ref="E154:E159" si="12">C154*D154</f>
        <v>200</v>
      </c>
    </row>
    <row r="155" spans="1:5" x14ac:dyDescent="0.35">
      <c r="A155" s="36" t="s">
        <v>161</v>
      </c>
      <c r="B155" s="11" t="s">
        <v>13</v>
      </c>
      <c r="C155" s="20">
        <v>45</v>
      </c>
      <c r="D155" s="12">
        <v>25</v>
      </c>
      <c r="E155" s="32">
        <f t="shared" si="12"/>
        <v>1125</v>
      </c>
    </row>
    <row r="156" spans="1:5" x14ac:dyDescent="0.35">
      <c r="A156" s="36" t="s">
        <v>162</v>
      </c>
      <c r="B156" s="11" t="s">
        <v>15</v>
      </c>
      <c r="C156" s="20">
        <v>50</v>
      </c>
      <c r="D156" s="12">
        <v>40</v>
      </c>
      <c r="E156" s="32">
        <f t="shared" si="12"/>
        <v>2000</v>
      </c>
    </row>
    <row r="157" spans="1:5" x14ac:dyDescent="0.35">
      <c r="A157" s="36" t="s">
        <v>163</v>
      </c>
      <c r="B157" s="11" t="s">
        <v>17</v>
      </c>
      <c r="C157" s="20">
        <v>55</v>
      </c>
      <c r="D157" s="12">
        <v>40</v>
      </c>
      <c r="E157" s="32">
        <f t="shared" si="12"/>
        <v>2200</v>
      </c>
    </row>
    <row r="158" spans="1:5" x14ac:dyDescent="0.35">
      <c r="A158" s="36" t="s">
        <v>164</v>
      </c>
      <c r="B158" s="11" t="s">
        <v>19</v>
      </c>
      <c r="C158" s="20">
        <v>60</v>
      </c>
      <c r="D158" s="12">
        <v>20</v>
      </c>
      <c r="E158" s="32">
        <f t="shared" si="12"/>
        <v>1200</v>
      </c>
    </row>
    <row r="159" spans="1:5" x14ac:dyDescent="0.35">
      <c r="A159" s="36" t="s">
        <v>165</v>
      </c>
      <c r="B159" s="24" t="s">
        <v>21</v>
      </c>
      <c r="C159" s="20">
        <v>65</v>
      </c>
      <c r="D159" s="12">
        <v>20</v>
      </c>
      <c r="E159" s="32">
        <f t="shared" si="12"/>
        <v>1300</v>
      </c>
    </row>
    <row r="160" spans="1:5" x14ac:dyDescent="0.35">
      <c r="A160" s="113" t="s">
        <v>166</v>
      </c>
      <c r="B160" s="113"/>
      <c r="C160" s="113"/>
      <c r="D160" s="113"/>
      <c r="E160" s="113"/>
    </row>
    <row r="161" spans="1:5" x14ac:dyDescent="0.35">
      <c r="A161" s="36" t="s">
        <v>167</v>
      </c>
      <c r="B161" s="27" t="s">
        <v>11</v>
      </c>
      <c r="C161" s="20">
        <v>33</v>
      </c>
      <c r="D161" s="12">
        <v>40</v>
      </c>
      <c r="E161" s="32">
        <f t="shared" ref="E161:E166" si="13">C161*D161</f>
        <v>1320</v>
      </c>
    </row>
    <row r="162" spans="1:5" x14ac:dyDescent="0.35">
      <c r="A162" s="36" t="s">
        <v>168</v>
      </c>
      <c r="B162" s="11" t="s">
        <v>13</v>
      </c>
      <c r="C162" s="20">
        <v>35</v>
      </c>
      <c r="D162" s="12">
        <v>100</v>
      </c>
      <c r="E162" s="32">
        <f t="shared" si="13"/>
        <v>3500</v>
      </c>
    </row>
    <row r="163" spans="1:5" x14ac:dyDescent="0.35">
      <c r="A163" s="36" t="s">
        <v>169</v>
      </c>
      <c r="B163" s="11" t="s">
        <v>15</v>
      </c>
      <c r="C163" s="20">
        <v>40</v>
      </c>
      <c r="D163" s="12">
        <v>130</v>
      </c>
      <c r="E163" s="32">
        <f t="shared" si="13"/>
        <v>5200</v>
      </c>
    </row>
    <row r="164" spans="1:5" x14ac:dyDescent="0.35">
      <c r="A164" s="36" t="s">
        <v>170</v>
      </c>
      <c r="B164" s="11" t="s">
        <v>17</v>
      </c>
      <c r="C164" s="20">
        <v>45</v>
      </c>
      <c r="D164" s="12">
        <v>130</v>
      </c>
      <c r="E164" s="32">
        <f t="shared" si="13"/>
        <v>5850</v>
      </c>
    </row>
    <row r="165" spans="1:5" x14ac:dyDescent="0.35">
      <c r="A165" s="36" t="s">
        <v>171</v>
      </c>
      <c r="B165" s="11" t="s">
        <v>19</v>
      </c>
      <c r="C165" s="20">
        <v>50</v>
      </c>
      <c r="D165" s="12">
        <v>60</v>
      </c>
      <c r="E165" s="32">
        <f t="shared" si="13"/>
        <v>3000</v>
      </c>
    </row>
    <row r="166" spans="1:5" x14ac:dyDescent="0.35">
      <c r="A166" s="36" t="s">
        <v>172</v>
      </c>
      <c r="B166" s="24" t="s">
        <v>21</v>
      </c>
      <c r="C166" s="20">
        <v>53</v>
      </c>
      <c r="D166" s="12">
        <v>20</v>
      </c>
      <c r="E166" s="32">
        <f t="shared" si="13"/>
        <v>1060</v>
      </c>
    </row>
    <row r="167" spans="1:5" x14ac:dyDescent="0.35">
      <c r="A167" s="113" t="s">
        <v>173</v>
      </c>
      <c r="B167" s="113"/>
      <c r="C167" s="113"/>
      <c r="D167" s="113"/>
      <c r="E167" s="113"/>
    </row>
    <row r="168" spans="1:5" x14ac:dyDescent="0.3">
      <c r="A168" s="37" t="s">
        <v>174</v>
      </c>
      <c r="B168" s="38" t="s">
        <v>175</v>
      </c>
      <c r="C168" s="39">
        <v>450</v>
      </c>
      <c r="D168" s="25">
        <v>25</v>
      </c>
      <c r="E168" s="40">
        <f>C168*D168</f>
        <v>11250</v>
      </c>
    </row>
    <row r="169" spans="1:5" x14ac:dyDescent="0.3">
      <c r="A169" s="41" t="s">
        <v>176</v>
      </c>
      <c r="B169" s="42" t="s">
        <v>392</v>
      </c>
      <c r="C169" s="43">
        <v>550</v>
      </c>
      <c r="D169" s="44">
        <v>25</v>
      </c>
      <c r="E169" s="40">
        <f>C169*D169</f>
        <v>13750</v>
      </c>
    </row>
    <row r="170" spans="1:5" x14ac:dyDescent="0.3">
      <c r="A170" s="41" t="s">
        <v>395</v>
      </c>
      <c r="B170" s="42" t="s">
        <v>393</v>
      </c>
      <c r="C170" s="43">
        <v>750</v>
      </c>
      <c r="D170" s="44">
        <v>25</v>
      </c>
      <c r="E170" s="40">
        <f>C170*D170</f>
        <v>18750</v>
      </c>
    </row>
    <row r="171" spans="1:5" x14ac:dyDescent="0.3">
      <c r="A171" s="41" t="s">
        <v>396</v>
      </c>
      <c r="B171" s="42" t="s">
        <v>394</v>
      </c>
      <c r="C171" s="43">
        <v>850</v>
      </c>
      <c r="D171" s="44">
        <v>25</v>
      </c>
      <c r="E171" s="40">
        <f>C171*D171</f>
        <v>21250</v>
      </c>
    </row>
    <row r="172" spans="1:5" x14ac:dyDescent="0.35">
      <c r="A172" s="8"/>
      <c r="B172" s="16"/>
      <c r="C172" s="8"/>
      <c r="D172" s="17"/>
      <c r="E172" s="34"/>
    </row>
    <row r="173" spans="1:5" ht="45.65" customHeight="1" x14ac:dyDescent="0.35">
      <c r="A173" s="45" t="s">
        <v>177</v>
      </c>
      <c r="B173" s="114" t="s">
        <v>178</v>
      </c>
      <c r="C173" s="114"/>
      <c r="D173" s="114"/>
      <c r="E173" s="114"/>
    </row>
    <row r="174" spans="1:5" x14ac:dyDescent="0.35">
      <c r="A174" s="115" t="s">
        <v>9</v>
      </c>
      <c r="B174" s="115"/>
      <c r="C174" s="115"/>
      <c r="D174" s="115"/>
      <c r="E174" s="115"/>
    </row>
    <row r="175" spans="1:5" x14ac:dyDescent="0.35">
      <c r="A175" s="36" t="s">
        <v>179</v>
      </c>
      <c r="B175" s="27" t="s">
        <v>11</v>
      </c>
      <c r="C175" s="20">
        <v>190</v>
      </c>
      <c r="D175" s="12">
        <v>5</v>
      </c>
      <c r="E175" s="32">
        <f>C175*D175</f>
        <v>950</v>
      </c>
    </row>
    <row r="176" spans="1:5" x14ac:dyDescent="0.35">
      <c r="A176" s="36" t="s">
        <v>180</v>
      </c>
      <c r="B176" s="11" t="s">
        <v>13</v>
      </c>
      <c r="C176" s="20">
        <v>210</v>
      </c>
      <c r="D176" s="12">
        <v>25</v>
      </c>
      <c r="E176" s="32">
        <f t="shared" ref="E176:E180" si="14">C176*D176</f>
        <v>5250</v>
      </c>
    </row>
    <row r="177" spans="1:5" x14ac:dyDescent="0.35">
      <c r="A177" s="36" t="s">
        <v>181</v>
      </c>
      <c r="B177" s="11" t="s">
        <v>15</v>
      </c>
      <c r="C177" s="20">
        <v>240</v>
      </c>
      <c r="D177" s="12">
        <v>40</v>
      </c>
      <c r="E177" s="32">
        <f t="shared" si="14"/>
        <v>9600</v>
      </c>
    </row>
    <row r="178" spans="1:5" x14ac:dyDescent="0.35">
      <c r="A178" s="36" t="s">
        <v>182</v>
      </c>
      <c r="B178" s="11" t="s">
        <v>17</v>
      </c>
      <c r="C178" s="20">
        <v>250</v>
      </c>
      <c r="D178" s="12">
        <v>40</v>
      </c>
      <c r="E178" s="32">
        <f t="shared" si="14"/>
        <v>10000</v>
      </c>
    </row>
    <row r="179" spans="1:5" x14ac:dyDescent="0.35">
      <c r="A179" s="36" t="s">
        <v>183</v>
      </c>
      <c r="B179" s="11" t="s">
        <v>19</v>
      </c>
      <c r="C179" s="20">
        <v>290</v>
      </c>
      <c r="D179" s="12">
        <v>20</v>
      </c>
      <c r="E179" s="32">
        <f t="shared" si="14"/>
        <v>5800</v>
      </c>
    </row>
    <row r="180" spans="1:5" x14ac:dyDescent="0.35">
      <c r="A180" s="36" t="s">
        <v>184</v>
      </c>
      <c r="B180" s="24" t="s">
        <v>21</v>
      </c>
      <c r="C180" s="20">
        <v>300</v>
      </c>
      <c r="D180" s="12">
        <v>20</v>
      </c>
      <c r="E180" s="32">
        <f t="shared" si="14"/>
        <v>6000</v>
      </c>
    </row>
    <row r="181" spans="1:5" x14ac:dyDescent="0.35">
      <c r="A181" s="113" t="s">
        <v>166</v>
      </c>
      <c r="B181" s="113"/>
      <c r="C181" s="113"/>
      <c r="D181" s="113"/>
      <c r="E181" s="113"/>
    </row>
    <row r="182" spans="1:5" x14ac:dyDescent="0.35">
      <c r="A182" s="36" t="s">
        <v>185</v>
      </c>
      <c r="B182" s="27" t="s">
        <v>11</v>
      </c>
      <c r="C182" s="20">
        <v>150</v>
      </c>
      <c r="D182" s="12">
        <v>5</v>
      </c>
      <c r="E182" s="32">
        <f t="shared" ref="E182:E187" si="15">C182*D182</f>
        <v>750</v>
      </c>
    </row>
    <row r="183" spans="1:5" x14ac:dyDescent="0.35">
      <c r="A183" s="36" t="s">
        <v>186</v>
      </c>
      <c r="B183" s="11" t="s">
        <v>13</v>
      </c>
      <c r="C183" s="20">
        <v>160</v>
      </c>
      <c r="D183" s="12">
        <v>25</v>
      </c>
      <c r="E183" s="32">
        <f t="shared" si="15"/>
        <v>4000</v>
      </c>
    </row>
    <row r="184" spans="1:5" x14ac:dyDescent="0.35">
      <c r="A184" s="36" t="s">
        <v>187</v>
      </c>
      <c r="B184" s="11" t="s">
        <v>15</v>
      </c>
      <c r="C184" s="20">
        <v>170</v>
      </c>
      <c r="D184" s="12">
        <v>40</v>
      </c>
      <c r="E184" s="32">
        <f t="shared" si="15"/>
        <v>6800</v>
      </c>
    </row>
    <row r="185" spans="1:5" x14ac:dyDescent="0.35">
      <c r="A185" s="36" t="s">
        <v>188</v>
      </c>
      <c r="B185" s="11" t="s">
        <v>17</v>
      </c>
      <c r="C185" s="20">
        <v>180</v>
      </c>
      <c r="D185" s="12">
        <v>40</v>
      </c>
      <c r="E185" s="32">
        <f t="shared" si="15"/>
        <v>7200</v>
      </c>
    </row>
    <row r="186" spans="1:5" x14ac:dyDescent="0.35">
      <c r="A186" s="36" t="s">
        <v>189</v>
      </c>
      <c r="B186" s="11" t="s">
        <v>19</v>
      </c>
      <c r="C186" s="20">
        <v>190</v>
      </c>
      <c r="D186" s="12">
        <v>20</v>
      </c>
      <c r="E186" s="32">
        <f t="shared" si="15"/>
        <v>3800</v>
      </c>
    </row>
    <row r="187" spans="1:5" x14ac:dyDescent="0.35">
      <c r="A187" s="36" t="s">
        <v>190</v>
      </c>
      <c r="B187" s="24" t="s">
        <v>21</v>
      </c>
      <c r="C187" s="20">
        <v>200</v>
      </c>
      <c r="D187" s="12">
        <v>20</v>
      </c>
      <c r="E187" s="32">
        <f t="shared" si="15"/>
        <v>4000</v>
      </c>
    </row>
    <row r="188" spans="1:5" x14ac:dyDescent="0.35">
      <c r="A188" s="113" t="s">
        <v>173</v>
      </c>
      <c r="B188" s="113"/>
      <c r="C188" s="113"/>
      <c r="D188" s="113"/>
      <c r="E188" s="113"/>
    </row>
    <row r="189" spans="1:5" x14ac:dyDescent="0.3">
      <c r="A189" s="46" t="s">
        <v>191</v>
      </c>
      <c r="B189" s="47" t="s">
        <v>192</v>
      </c>
      <c r="C189" s="20">
        <v>630</v>
      </c>
      <c r="D189" s="12">
        <v>25</v>
      </c>
      <c r="E189" s="32">
        <f>C189*D189</f>
        <v>15750</v>
      </c>
    </row>
    <row r="190" spans="1:5" x14ac:dyDescent="0.3">
      <c r="A190" s="46" t="s">
        <v>193</v>
      </c>
      <c r="B190" s="47" t="s">
        <v>399</v>
      </c>
      <c r="C190" s="20">
        <v>750</v>
      </c>
      <c r="D190" s="12">
        <v>25</v>
      </c>
      <c r="E190" s="32">
        <f>C190*D190</f>
        <v>18750</v>
      </c>
    </row>
    <row r="191" spans="1:5" x14ac:dyDescent="0.3">
      <c r="A191" s="46" t="s">
        <v>397</v>
      </c>
      <c r="B191" s="47" t="s">
        <v>400</v>
      </c>
      <c r="C191" s="20">
        <v>1100</v>
      </c>
      <c r="D191" s="12">
        <v>25</v>
      </c>
      <c r="E191" s="32">
        <f>C191*D191</f>
        <v>27500</v>
      </c>
    </row>
    <row r="192" spans="1:5" x14ac:dyDescent="0.3">
      <c r="A192" s="6" t="s">
        <v>398</v>
      </c>
      <c r="B192" s="47" t="s">
        <v>401</v>
      </c>
      <c r="C192" s="20">
        <v>1300</v>
      </c>
      <c r="D192" s="12">
        <v>25</v>
      </c>
      <c r="E192" s="32">
        <f>C192*D192</f>
        <v>32500</v>
      </c>
    </row>
    <row r="194" spans="1:5" ht="35.5" customHeight="1" x14ac:dyDescent="0.35">
      <c r="A194" s="23"/>
      <c r="B194" s="100" t="s">
        <v>194</v>
      </c>
      <c r="C194" s="101"/>
      <c r="D194" s="101"/>
      <c r="E194" s="102"/>
    </row>
    <row r="195" spans="1:5" x14ac:dyDescent="0.35">
      <c r="A195" s="119" t="s">
        <v>195</v>
      </c>
      <c r="B195" s="120"/>
      <c r="C195" s="120"/>
      <c r="D195" s="120"/>
      <c r="E195" s="121"/>
    </row>
    <row r="196" spans="1:5" x14ac:dyDescent="0.35">
      <c r="A196" s="26" t="s">
        <v>196</v>
      </c>
      <c r="B196" s="27" t="s">
        <v>197</v>
      </c>
      <c r="C196" s="20">
        <v>23</v>
      </c>
      <c r="D196" s="28">
        <v>1</v>
      </c>
      <c r="E196" s="32">
        <f>C196*D196</f>
        <v>23</v>
      </c>
    </row>
    <row r="197" spans="1:5" x14ac:dyDescent="0.35">
      <c r="A197" s="26" t="s">
        <v>198</v>
      </c>
      <c r="B197" s="11" t="s">
        <v>13</v>
      </c>
      <c r="C197" s="20">
        <v>24</v>
      </c>
      <c r="D197" s="12">
        <v>2</v>
      </c>
      <c r="E197" s="32">
        <f t="shared" ref="E197:E201" si="16">C197*D197</f>
        <v>48</v>
      </c>
    </row>
    <row r="198" spans="1:5" x14ac:dyDescent="0.35">
      <c r="A198" s="26" t="s">
        <v>199</v>
      </c>
      <c r="B198" s="11" t="s">
        <v>15</v>
      </c>
      <c r="C198" s="20">
        <v>26</v>
      </c>
      <c r="D198" s="12">
        <v>2</v>
      </c>
      <c r="E198" s="32">
        <f t="shared" si="16"/>
        <v>52</v>
      </c>
    </row>
    <row r="199" spans="1:5" x14ac:dyDescent="0.35">
      <c r="A199" s="26" t="s">
        <v>200</v>
      </c>
      <c r="B199" s="11" t="s">
        <v>17</v>
      </c>
      <c r="C199" s="20">
        <v>30</v>
      </c>
      <c r="D199" s="12">
        <v>7</v>
      </c>
      <c r="E199" s="32">
        <f t="shared" si="16"/>
        <v>210</v>
      </c>
    </row>
    <row r="200" spans="1:5" x14ac:dyDescent="0.35">
      <c r="A200" s="26" t="s">
        <v>201</v>
      </c>
      <c r="B200" s="11" t="s">
        <v>19</v>
      </c>
      <c r="C200" s="20">
        <v>32</v>
      </c>
      <c r="D200" s="12">
        <v>4</v>
      </c>
      <c r="E200" s="32">
        <f t="shared" si="16"/>
        <v>128</v>
      </c>
    </row>
    <row r="201" spans="1:5" x14ac:dyDescent="0.35">
      <c r="A201" s="26" t="s">
        <v>202</v>
      </c>
      <c r="B201" s="24" t="s">
        <v>21</v>
      </c>
      <c r="C201" s="20">
        <v>35</v>
      </c>
      <c r="D201" s="25">
        <v>1</v>
      </c>
      <c r="E201" s="32">
        <f t="shared" si="16"/>
        <v>35</v>
      </c>
    </row>
    <row r="202" spans="1:5" ht="25.5" customHeight="1" x14ac:dyDescent="0.35">
      <c r="A202" s="119" t="s">
        <v>203</v>
      </c>
      <c r="B202" s="120"/>
      <c r="C202" s="120"/>
      <c r="D202" s="120"/>
      <c r="E202" s="121"/>
    </row>
    <row r="203" spans="1:5" x14ac:dyDescent="0.35">
      <c r="A203" s="26" t="s">
        <v>204</v>
      </c>
      <c r="B203" s="27" t="s">
        <v>197</v>
      </c>
      <c r="C203" s="20">
        <v>26</v>
      </c>
      <c r="D203" s="28">
        <v>2</v>
      </c>
      <c r="E203" s="32">
        <f t="shared" ref="E203:E208" si="17">C203*D203</f>
        <v>52</v>
      </c>
    </row>
    <row r="204" spans="1:5" x14ac:dyDescent="0.35">
      <c r="A204" s="26" t="s">
        <v>205</v>
      </c>
      <c r="B204" s="11" t="s">
        <v>13</v>
      </c>
      <c r="C204" s="20">
        <v>27</v>
      </c>
      <c r="D204" s="12">
        <v>4</v>
      </c>
      <c r="E204" s="32">
        <f t="shared" si="17"/>
        <v>108</v>
      </c>
    </row>
    <row r="205" spans="1:5" x14ac:dyDescent="0.35">
      <c r="A205" s="26" t="s">
        <v>206</v>
      </c>
      <c r="B205" s="11" t="s">
        <v>15</v>
      </c>
      <c r="C205" s="20">
        <v>29</v>
      </c>
      <c r="D205" s="12">
        <v>7</v>
      </c>
      <c r="E205" s="32">
        <f t="shared" si="17"/>
        <v>203</v>
      </c>
    </row>
    <row r="206" spans="1:5" x14ac:dyDescent="0.35">
      <c r="A206" s="26" t="s">
        <v>207</v>
      </c>
      <c r="B206" s="11" t="s">
        <v>17</v>
      </c>
      <c r="C206" s="20">
        <v>31</v>
      </c>
      <c r="D206" s="12">
        <v>7</v>
      </c>
      <c r="E206" s="32">
        <f t="shared" si="17"/>
        <v>217</v>
      </c>
    </row>
    <row r="207" spans="1:5" x14ac:dyDescent="0.35">
      <c r="A207" s="26" t="s">
        <v>208</v>
      </c>
      <c r="B207" s="11" t="s">
        <v>19</v>
      </c>
      <c r="C207" s="20">
        <v>35</v>
      </c>
      <c r="D207" s="12">
        <v>3</v>
      </c>
      <c r="E207" s="32">
        <f t="shared" si="17"/>
        <v>105</v>
      </c>
    </row>
    <row r="208" spans="1:5" x14ac:dyDescent="0.35">
      <c r="A208" s="26" t="s">
        <v>209</v>
      </c>
      <c r="B208" s="24" t="s">
        <v>21</v>
      </c>
      <c r="C208" s="20">
        <v>37</v>
      </c>
      <c r="D208" s="25">
        <v>1</v>
      </c>
      <c r="E208" s="32">
        <f t="shared" si="17"/>
        <v>37</v>
      </c>
    </row>
    <row r="209" spans="1:5" x14ac:dyDescent="0.35">
      <c r="A209" s="119" t="s">
        <v>210</v>
      </c>
      <c r="B209" s="120"/>
      <c r="C209" s="120"/>
      <c r="D209" s="120"/>
      <c r="E209" s="121"/>
    </row>
    <row r="210" spans="1:5" x14ac:dyDescent="0.35">
      <c r="A210" s="26" t="s">
        <v>211</v>
      </c>
      <c r="B210" s="27" t="s">
        <v>197</v>
      </c>
      <c r="C210" s="20">
        <v>26</v>
      </c>
      <c r="D210" s="28">
        <v>2</v>
      </c>
      <c r="E210" s="32">
        <f>C210*D210</f>
        <v>52</v>
      </c>
    </row>
    <row r="211" spans="1:5" x14ac:dyDescent="0.35">
      <c r="A211" s="26" t="s">
        <v>212</v>
      </c>
      <c r="B211" s="11" t="s">
        <v>13</v>
      </c>
      <c r="C211" s="20">
        <v>27</v>
      </c>
      <c r="D211" s="12">
        <v>2</v>
      </c>
      <c r="E211" s="32">
        <f t="shared" ref="E211:E215" si="18">C211*D211</f>
        <v>54</v>
      </c>
    </row>
    <row r="212" spans="1:5" x14ac:dyDescent="0.35">
      <c r="A212" s="26" t="s">
        <v>213</v>
      </c>
      <c r="B212" s="11" t="s">
        <v>15</v>
      </c>
      <c r="C212" s="20">
        <v>29</v>
      </c>
      <c r="D212" s="12">
        <v>2</v>
      </c>
      <c r="E212" s="32">
        <f t="shared" si="18"/>
        <v>58</v>
      </c>
    </row>
    <row r="213" spans="1:5" x14ac:dyDescent="0.35">
      <c r="A213" s="26" t="s">
        <v>214</v>
      </c>
      <c r="B213" s="11" t="s">
        <v>17</v>
      </c>
      <c r="C213" s="20">
        <v>31</v>
      </c>
      <c r="D213" s="12">
        <v>1</v>
      </c>
      <c r="E213" s="32">
        <f t="shared" si="18"/>
        <v>31</v>
      </c>
    </row>
    <row r="214" spans="1:5" x14ac:dyDescent="0.35">
      <c r="A214" s="26" t="s">
        <v>215</v>
      </c>
      <c r="B214" s="11" t="s">
        <v>19</v>
      </c>
      <c r="C214" s="20">
        <v>35</v>
      </c>
      <c r="D214" s="12">
        <v>1</v>
      </c>
      <c r="E214" s="32">
        <f t="shared" si="18"/>
        <v>35</v>
      </c>
    </row>
    <row r="215" spans="1:5" x14ac:dyDescent="0.35">
      <c r="A215" s="26" t="s">
        <v>216</v>
      </c>
      <c r="B215" s="24" t="s">
        <v>21</v>
      </c>
      <c r="C215" s="20">
        <v>37</v>
      </c>
      <c r="D215" s="25">
        <v>1</v>
      </c>
      <c r="E215" s="32">
        <f t="shared" si="18"/>
        <v>37</v>
      </c>
    </row>
    <row r="216" spans="1:5" ht="14.5" x14ac:dyDescent="0.35">
      <c r="A216" s="122" t="s">
        <v>217</v>
      </c>
      <c r="B216" s="123"/>
      <c r="C216" s="123"/>
      <c r="D216" s="123"/>
      <c r="E216" s="124"/>
    </row>
    <row r="217" spans="1:5" ht="29" x14ac:dyDescent="0.35">
      <c r="A217" s="48" t="s">
        <v>218</v>
      </c>
      <c r="B217" s="49" t="s">
        <v>219</v>
      </c>
      <c r="C217" s="50">
        <v>15</v>
      </c>
      <c r="D217" s="51">
        <v>24</v>
      </c>
      <c r="E217" s="52">
        <f>C217*D217</f>
        <v>360</v>
      </c>
    </row>
    <row r="218" spans="1:5" ht="14.5" x14ac:dyDescent="0.35">
      <c r="A218" s="48" t="s">
        <v>220</v>
      </c>
      <c r="B218" s="53" t="s">
        <v>221</v>
      </c>
      <c r="C218" s="50">
        <v>50</v>
      </c>
      <c r="D218" s="51">
        <v>1</v>
      </c>
      <c r="E218" s="52">
        <f t="shared" ref="E218:E224" si="19">C218*D218</f>
        <v>50</v>
      </c>
    </row>
    <row r="219" spans="1:5" ht="14.5" x14ac:dyDescent="0.35">
      <c r="A219" s="48" t="s">
        <v>222</v>
      </c>
      <c r="B219" s="49" t="s">
        <v>123</v>
      </c>
      <c r="C219" s="50">
        <v>70</v>
      </c>
      <c r="D219" s="51">
        <v>1</v>
      </c>
      <c r="E219" s="52">
        <f t="shared" si="19"/>
        <v>70</v>
      </c>
    </row>
    <row r="220" spans="1:5" ht="49.15" customHeight="1" x14ac:dyDescent="0.35">
      <c r="A220" s="48" t="s">
        <v>223</v>
      </c>
      <c r="B220" s="49" t="s">
        <v>224</v>
      </c>
      <c r="C220" s="50">
        <v>100</v>
      </c>
      <c r="D220" s="51">
        <v>1</v>
      </c>
      <c r="E220" s="52">
        <f t="shared" si="19"/>
        <v>100</v>
      </c>
    </row>
    <row r="221" spans="1:5" ht="14.5" x14ac:dyDescent="0.35">
      <c r="A221" s="48" t="s">
        <v>225</v>
      </c>
      <c r="B221" s="49" t="s">
        <v>226</v>
      </c>
      <c r="C221" s="50">
        <v>200</v>
      </c>
      <c r="D221" s="51">
        <v>1</v>
      </c>
      <c r="E221" s="52">
        <f t="shared" si="19"/>
        <v>200</v>
      </c>
    </row>
    <row r="222" spans="1:5" ht="14.5" x14ac:dyDescent="0.35">
      <c r="A222" s="48" t="s">
        <v>227</v>
      </c>
      <c r="B222" s="49" t="s">
        <v>228</v>
      </c>
      <c r="C222" s="50">
        <v>400</v>
      </c>
      <c r="D222" s="51">
        <v>1</v>
      </c>
      <c r="E222" s="52">
        <f t="shared" si="19"/>
        <v>400</v>
      </c>
    </row>
    <row r="223" spans="1:5" ht="14.5" x14ac:dyDescent="0.35">
      <c r="A223" s="48" t="s">
        <v>229</v>
      </c>
      <c r="B223" s="49" t="s">
        <v>230</v>
      </c>
      <c r="C223" s="50">
        <v>700</v>
      </c>
      <c r="D223" s="51">
        <v>1</v>
      </c>
      <c r="E223" s="52">
        <f t="shared" si="19"/>
        <v>700</v>
      </c>
    </row>
    <row r="224" spans="1:5" ht="14.5" x14ac:dyDescent="0.35">
      <c r="A224" s="48" t="s">
        <v>231</v>
      </c>
      <c r="B224" s="49" t="s">
        <v>232</v>
      </c>
      <c r="C224" s="50">
        <v>800</v>
      </c>
      <c r="D224" s="51">
        <v>1</v>
      </c>
      <c r="E224" s="52">
        <f t="shared" si="19"/>
        <v>800</v>
      </c>
    </row>
    <row r="225" spans="1:5" ht="14.5" x14ac:dyDescent="0.35">
      <c r="A225" s="122" t="s">
        <v>233</v>
      </c>
      <c r="B225" s="123"/>
      <c r="C225" s="123"/>
      <c r="D225" s="123"/>
      <c r="E225" s="124"/>
    </row>
    <row r="226" spans="1:5" ht="14.5" x14ac:dyDescent="0.35">
      <c r="A226" s="48" t="s">
        <v>234</v>
      </c>
      <c r="B226" s="49" t="s">
        <v>197</v>
      </c>
      <c r="C226" s="50">
        <v>20</v>
      </c>
      <c r="D226" s="51">
        <v>1</v>
      </c>
      <c r="E226" s="52">
        <f>C226*D226</f>
        <v>20</v>
      </c>
    </row>
    <row r="227" spans="1:5" ht="14.5" x14ac:dyDescent="0.35">
      <c r="A227" s="48" t="s">
        <v>235</v>
      </c>
      <c r="B227" s="49" t="s">
        <v>13</v>
      </c>
      <c r="C227" s="50">
        <v>21</v>
      </c>
      <c r="D227" s="51">
        <v>1</v>
      </c>
      <c r="E227" s="52">
        <f t="shared" ref="E227:E231" si="20">C227*D227</f>
        <v>21</v>
      </c>
    </row>
    <row r="228" spans="1:5" ht="14.5" x14ac:dyDescent="0.35">
      <c r="A228" s="48" t="s">
        <v>236</v>
      </c>
      <c r="B228" s="49" t="s">
        <v>15</v>
      </c>
      <c r="C228" s="50">
        <v>22</v>
      </c>
      <c r="D228" s="51">
        <v>4</v>
      </c>
      <c r="E228" s="52">
        <f t="shared" si="20"/>
        <v>88</v>
      </c>
    </row>
    <row r="229" spans="1:5" ht="14.5" x14ac:dyDescent="0.35">
      <c r="A229" s="48" t="s">
        <v>237</v>
      </c>
      <c r="B229" s="49" t="s">
        <v>17</v>
      </c>
      <c r="C229" s="50">
        <v>23</v>
      </c>
      <c r="D229" s="51">
        <v>1</v>
      </c>
      <c r="E229" s="52">
        <f t="shared" si="20"/>
        <v>23</v>
      </c>
    </row>
    <row r="230" spans="1:5" ht="14.5" x14ac:dyDescent="0.35">
      <c r="A230" s="48" t="s">
        <v>238</v>
      </c>
      <c r="B230" s="49" t="s">
        <v>19</v>
      </c>
      <c r="C230" s="50">
        <v>24</v>
      </c>
      <c r="D230" s="51">
        <v>1</v>
      </c>
      <c r="E230" s="52">
        <f t="shared" si="20"/>
        <v>24</v>
      </c>
    </row>
    <row r="231" spans="1:5" ht="14.5" x14ac:dyDescent="0.35">
      <c r="A231" s="48" t="s">
        <v>239</v>
      </c>
      <c r="B231" s="49" t="s">
        <v>21</v>
      </c>
      <c r="C231" s="50">
        <v>25</v>
      </c>
      <c r="D231" s="51">
        <v>1</v>
      </c>
      <c r="E231" s="52">
        <f t="shared" si="20"/>
        <v>25</v>
      </c>
    </row>
    <row r="232" spans="1:5" ht="14.5" x14ac:dyDescent="0.35">
      <c r="A232" s="122" t="s">
        <v>240</v>
      </c>
      <c r="B232" s="123"/>
      <c r="C232" s="123"/>
      <c r="D232" s="123"/>
      <c r="E232" s="124"/>
    </row>
    <row r="233" spans="1:5" ht="14.5" x14ac:dyDescent="0.35">
      <c r="A233" s="48" t="s">
        <v>241</v>
      </c>
      <c r="B233" s="49" t="s">
        <v>242</v>
      </c>
      <c r="C233" s="50">
        <v>35</v>
      </c>
      <c r="D233" s="51">
        <v>8</v>
      </c>
      <c r="E233" s="52">
        <f>C233*D233</f>
        <v>280</v>
      </c>
    </row>
    <row r="234" spans="1:5" ht="14.5" x14ac:dyDescent="0.35">
      <c r="A234" s="48" t="s">
        <v>243</v>
      </c>
      <c r="B234" s="49" t="s">
        <v>244</v>
      </c>
      <c r="C234" s="50">
        <v>45</v>
      </c>
      <c r="D234" s="51">
        <v>52</v>
      </c>
      <c r="E234" s="52">
        <f t="shared" ref="E234:E242" si="21">C234*D234</f>
        <v>2340</v>
      </c>
    </row>
    <row r="235" spans="1:5" ht="14.5" x14ac:dyDescent="0.35">
      <c r="A235" s="48" t="s">
        <v>245</v>
      </c>
      <c r="B235" s="49" t="s">
        <v>246</v>
      </c>
      <c r="C235" s="50">
        <v>55</v>
      </c>
      <c r="D235" s="51">
        <v>24</v>
      </c>
      <c r="E235" s="52">
        <f t="shared" si="21"/>
        <v>1320</v>
      </c>
    </row>
    <row r="236" spans="1:5" ht="14.5" x14ac:dyDescent="0.35">
      <c r="A236" s="48" t="s">
        <v>247</v>
      </c>
      <c r="B236" s="49" t="s">
        <v>248</v>
      </c>
      <c r="C236" s="50">
        <v>65</v>
      </c>
      <c r="D236" s="51">
        <v>1</v>
      </c>
      <c r="E236" s="52">
        <f t="shared" si="21"/>
        <v>65</v>
      </c>
    </row>
    <row r="237" spans="1:5" ht="14.5" x14ac:dyDescent="0.35">
      <c r="A237" s="48" t="s">
        <v>249</v>
      </c>
      <c r="B237" s="49" t="s">
        <v>250</v>
      </c>
      <c r="C237" s="50">
        <v>85</v>
      </c>
      <c r="D237" s="51">
        <v>1</v>
      </c>
      <c r="E237" s="52">
        <f t="shared" si="21"/>
        <v>85</v>
      </c>
    </row>
    <row r="238" spans="1:5" ht="36" customHeight="1" x14ac:dyDescent="0.35">
      <c r="A238" s="48" t="s">
        <v>251</v>
      </c>
      <c r="B238" s="49" t="s">
        <v>252</v>
      </c>
      <c r="C238" s="50">
        <v>100</v>
      </c>
      <c r="D238" s="51">
        <v>1</v>
      </c>
      <c r="E238" s="52">
        <f t="shared" si="21"/>
        <v>100</v>
      </c>
    </row>
    <row r="239" spans="1:5" ht="14.5" x14ac:dyDescent="0.35">
      <c r="A239" s="48" t="s">
        <v>253</v>
      </c>
      <c r="B239" s="49" t="s">
        <v>254</v>
      </c>
      <c r="C239" s="50">
        <v>115</v>
      </c>
      <c r="D239" s="51">
        <v>4</v>
      </c>
      <c r="E239" s="52">
        <f t="shared" si="21"/>
        <v>460</v>
      </c>
    </row>
    <row r="240" spans="1:5" ht="26.5" customHeight="1" x14ac:dyDescent="0.35">
      <c r="A240" s="48" t="s">
        <v>255</v>
      </c>
      <c r="B240" s="49" t="s">
        <v>256</v>
      </c>
      <c r="C240" s="50">
        <v>100</v>
      </c>
      <c r="D240" s="51">
        <v>1</v>
      </c>
      <c r="E240" s="52">
        <f t="shared" si="21"/>
        <v>100</v>
      </c>
    </row>
    <row r="241" spans="1:5" ht="29" x14ac:dyDescent="0.35">
      <c r="A241" s="48" t="s">
        <v>257</v>
      </c>
      <c r="B241" s="49" t="s">
        <v>258</v>
      </c>
      <c r="C241" s="50">
        <v>70</v>
      </c>
      <c r="D241" s="51">
        <v>1</v>
      </c>
      <c r="E241" s="52">
        <f t="shared" si="21"/>
        <v>70</v>
      </c>
    </row>
    <row r="242" spans="1:5" ht="43.5" x14ac:dyDescent="0.35">
      <c r="A242" s="48" t="s">
        <v>259</v>
      </c>
      <c r="B242" s="49" t="s">
        <v>260</v>
      </c>
      <c r="C242" s="50">
        <v>200</v>
      </c>
      <c r="D242" s="51">
        <v>1</v>
      </c>
      <c r="E242" s="52">
        <f t="shared" si="21"/>
        <v>200</v>
      </c>
    </row>
    <row r="243" spans="1:5" ht="14.5" x14ac:dyDescent="0.35">
      <c r="A243" s="122" t="s">
        <v>261</v>
      </c>
      <c r="B243" s="123"/>
      <c r="C243" s="123"/>
      <c r="D243" s="123"/>
      <c r="E243" s="124"/>
    </row>
    <row r="244" spans="1:5" ht="29" x14ac:dyDescent="0.35">
      <c r="A244" s="48" t="s">
        <v>262</v>
      </c>
      <c r="B244" s="49" t="s">
        <v>263</v>
      </c>
      <c r="C244" s="50">
        <v>200</v>
      </c>
      <c r="D244" s="51">
        <v>1</v>
      </c>
      <c r="E244" s="52">
        <f>C244*D244</f>
        <v>200</v>
      </c>
    </row>
    <row r="245" spans="1:5" ht="58.15" customHeight="1" x14ac:dyDescent="0.35">
      <c r="A245" s="48" t="s">
        <v>264</v>
      </c>
      <c r="B245" s="49" t="s">
        <v>265</v>
      </c>
      <c r="C245" s="50">
        <v>350</v>
      </c>
      <c r="D245" s="51">
        <v>1</v>
      </c>
      <c r="E245" s="52">
        <f>C245*D245</f>
        <v>350</v>
      </c>
    </row>
    <row r="246" spans="1:5" ht="34.5" customHeight="1" x14ac:dyDescent="0.35">
      <c r="A246" s="125" t="s">
        <v>266</v>
      </c>
      <c r="B246" s="126"/>
      <c r="C246" s="126"/>
      <c r="D246" s="126"/>
      <c r="E246" s="126"/>
    </row>
    <row r="247" spans="1:5" ht="42.65" customHeight="1" x14ac:dyDescent="0.35">
      <c r="A247" s="116" t="s">
        <v>267</v>
      </c>
      <c r="B247" s="117"/>
      <c r="C247" s="117"/>
      <c r="D247" s="117"/>
      <c r="E247" s="118"/>
    </row>
    <row r="248" spans="1:5" ht="14.5" x14ac:dyDescent="0.35">
      <c r="A248" s="54" t="s">
        <v>268</v>
      </c>
      <c r="B248" s="49" t="s">
        <v>226</v>
      </c>
      <c r="C248" s="50">
        <v>300</v>
      </c>
      <c r="D248" s="51">
        <v>1</v>
      </c>
      <c r="E248" s="52">
        <f>C248*D248</f>
        <v>300</v>
      </c>
    </row>
    <row r="249" spans="1:5" ht="14.5" x14ac:dyDescent="0.35">
      <c r="A249" s="48" t="s">
        <v>269</v>
      </c>
      <c r="B249" s="49" t="s">
        <v>270</v>
      </c>
      <c r="C249" s="50">
        <v>600</v>
      </c>
      <c r="D249" s="51">
        <v>1</v>
      </c>
      <c r="E249" s="52">
        <f t="shared" ref="E249:E251" si="22">C249*D249</f>
        <v>600</v>
      </c>
    </row>
    <row r="250" spans="1:5" ht="31.9" customHeight="1" x14ac:dyDescent="0.35">
      <c r="A250" s="48" t="s">
        <v>271</v>
      </c>
      <c r="B250" s="49" t="s">
        <v>272</v>
      </c>
      <c r="C250" s="50">
        <v>900</v>
      </c>
      <c r="D250" s="51">
        <v>1</v>
      </c>
      <c r="E250" s="52">
        <f t="shared" si="22"/>
        <v>900</v>
      </c>
    </row>
    <row r="251" spans="1:5" ht="14.5" x14ac:dyDescent="0.35">
      <c r="A251" s="48" t="s">
        <v>273</v>
      </c>
      <c r="B251" s="49" t="s">
        <v>232</v>
      </c>
      <c r="C251" s="50">
        <v>1200</v>
      </c>
      <c r="D251" s="51">
        <v>1</v>
      </c>
      <c r="E251" s="52">
        <f t="shared" si="22"/>
        <v>1200</v>
      </c>
    </row>
    <row r="252" spans="1:5" ht="34.15" customHeight="1" x14ac:dyDescent="0.35">
      <c r="A252" s="116" t="s">
        <v>274</v>
      </c>
      <c r="B252" s="117"/>
      <c r="C252" s="117"/>
      <c r="D252" s="117"/>
      <c r="E252" s="118"/>
    </row>
    <row r="253" spans="1:5" ht="14.5" x14ac:dyDescent="0.35">
      <c r="A253" s="48" t="s">
        <v>275</v>
      </c>
      <c r="B253" s="49" t="s">
        <v>242</v>
      </c>
      <c r="C253" s="50">
        <v>45</v>
      </c>
      <c r="D253" s="51">
        <v>1</v>
      </c>
      <c r="E253" s="52">
        <f>C253*D253</f>
        <v>45</v>
      </c>
    </row>
    <row r="254" spans="1:5" ht="14.5" x14ac:dyDescent="0.35">
      <c r="A254" s="48" t="s">
        <v>276</v>
      </c>
      <c r="B254" s="49" t="s">
        <v>244</v>
      </c>
      <c r="C254" s="50">
        <v>55</v>
      </c>
      <c r="D254" s="51">
        <v>4</v>
      </c>
      <c r="E254" s="52">
        <f t="shared" ref="E254:E260" si="23">C254*D254</f>
        <v>220</v>
      </c>
    </row>
    <row r="255" spans="1:5" ht="14.5" x14ac:dyDescent="0.35">
      <c r="A255" s="48" t="s">
        <v>277</v>
      </c>
      <c r="B255" s="49" t="s">
        <v>246</v>
      </c>
      <c r="C255" s="50">
        <v>85</v>
      </c>
      <c r="D255" s="51">
        <v>1</v>
      </c>
      <c r="E255" s="52">
        <f t="shared" si="23"/>
        <v>85</v>
      </c>
    </row>
    <row r="256" spans="1:5" ht="14.5" x14ac:dyDescent="0.35">
      <c r="A256" s="48" t="s">
        <v>278</v>
      </c>
      <c r="B256" s="49" t="s">
        <v>248</v>
      </c>
      <c r="C256" s="50">
        <v>105</v>
      </c>
      <c r="D256" s="51">
        <v>1</v>
      </c>
      <c r="E256" s="52">
        <f t="shared" si="23"/>
        <v>105</v>
      </c>
    </row>
    <row r="257" spans="1:5" ht="26.5" customHeight="1" x14ac:dyDescent="0.35">
      <c r="A257" s="48" t="s">
        <v>279</v>
      </c>
      <c r="B257" s="49" t="s">
        <v>250</v>
      </c>
      <c r="C257" s="50">
        <v>145</v>
      </c>
      <c r="D257" s="51">
        <v>1</v>
      </c>
      <c r="E257" s="52">
        <f t="shared" si="23"/>
        <v>145</v>
      </c>
    </row>
    <row r="258" spans="1:5" ht="14.5" x14ac:dyDescent="0.35">
      <c r="A258" s="48" t="s">
        <v>280</v>
      </c>
      <c r="B258" s="49" t="s">
        <v>252</v>
      </c>
      <c r="C258" s="50">
        <v>190</v>
      </c>
      <c r="D258" s="51">
        <v>1</v>
      </c>
      <c r="E258" s="52">
        <f t="shared" si="23"/>
        <v>190</v>
      </c>
    </row>
    <row r="259" spans="1:5" ht="14.5" x14ac:dyDescent="0.35">
      <c r="A259" s="48" t="s">
        <v>281</v>
      </c>
      <c r="B259" s="49" t="s">
        <v>254</v>
      </c>
      <c r="C259" s="50">
        <v>240</v>
      </c>
      <c r="D259" s="51">
        <v>1</v>
      </c>
      <c r="E259" s="52">
        <f t="shared" si="23"/>
        <v>240</v>
      </c>
    </row>
    <row r="260" spans="1:5" ht="43.5" x14ac:dyDescent="0.35">
      <c r="A260" s="48" t="s">
        <v>282</v>
      </c>
      <c r="B260" s="49" t="s">
        <v>283</v>
      </c>
      <c r="C260" s="50">
        <v>100</v>
      </c>
      <c r="D260" s="51">
        <v>1</v>
      </c>
      <c r="E260" s="52">
        <f t="shared" si="23"/>
        <v>100</v>
      </c>
    </row>
    <row r="261" spans="1:5" ht="14.5" x14ac:dyDescent="0.35">
      <c r="A261" s="125" t="s">
        <v>284</v>
      </c>
      <c r="B261" s="126"/>
      <c r="C261" s="126"/>
      <c r="D261" s="126"/>
      <c r="E261" s="127"/>
    </row>
    <row r="262" spans="1:5" ht="36" customHeight="1" x14ac:dyDescent="0.35">
      <c r="A262" s="116" t="s">
        <v>285</v>
      </c>
      <c r="B262" s="117"/>
      <c r="C262" s="117"/>
      <c r="D262" s="117"/>
      <c r="E262" s="118"/>
    </row>
    <row r="263" spans="1:5" ht="14.5" x14ac:dyDescent="0.35">
      <c r="A263" s="48" t="s">
        <v>286</v>
      </c>
      <c r="B263" s="49" t="s">
        <v>287</v>
      </c>
      <c r="C263" s="50">
        <v>39</v>
      </c>
      <c r="D263" s="51">
        <v>756</v>
      </c>
      <c r="E263" s="52">
        <f>C263*D263</f>
        <v>29484</v>
      </c>
    </row>
    <row r="264" spans="1:5" ht="30.65" customHeight="1" x14ac:dyDescent="0.35">
      <c r="A264" s="48" t="s">
        <v>288</v>
      </c>
      <c r="B264" s="49" t="s">
        <v>289</v>
      </c>
      <c r="C264" s="50">
        <v>78</v>
      </c>
      <c r="D264" s="51">
        <v>168</v>
      </c>
      <c r="E264" s="52">
        <f t="shared" ref="E264:E266" si="24">C264*D264</f>
        <v>13104</v>
      </c>
    </row>
    <row r="265" spans="1:5" ht="14.5" x14ac:dyDescent="0.35">
      <c r="A265" s="48" t="s">
        <v>290</v>
      </c>
      <c r="B265" s="49" t="s">
        <v>291</v>
      </c>
      <c r="C265" s="50">
        <v>125</v>
      </c>
      <c r="D265" s="51">
        <v>25</v>
      </c>
      <c r="E265" s="52">
        <f t="shared" si="24"/>
        <v>3125</v>
      </c>
    </row>
    <row r="266" spans="1:5" ht="31.15" customHeight="1" x14ac:dyDescent="0.35">
      <c r="A266" s="48" t="s">
        <v>292</v>
      </c>
      <c r="B266" s="49" t="s">
        <v>293</v>
      </c>
      <c r="C266" s="50">
        <v>220</v>
      </c>
      <c r="D266" s="51">
        <v>26</v>
      </c>
      <c r="E266" s="52">
        <f t="shared" si="24"/>
        <v>5720</v>
      </c>
    </row>
    <row r="267" spans="1:5" ht="14.5" x14ac:dyDescent="0.35">
      <c r="A267" s="116" t="s">
        <v>294</v>
      </c>
      <c r="B267" s="117"/>
      <c r="C267" s="117"/>
      <c r="D267" s="117"/>
      <c r="E267" s="118"/>
    </row>
    <row r="268" spans="1:5" ht="14.5" x14ac:dyDescent="0.35">
      <c r="A268" s="48" t="s">
        <v>295</v>
      </c>
      <c r="B268" s="49" t="s">
        <v>296</v>
      </c>
      <c r="C268" s="50">
        <v>60</v>
      </c>
      <c r="D268" s="51">
        <v>200</v>
      </c>
      <c r="E268" s="52">
        <f>C268*D268</f>
        <v>12000</v>
      </c>
    </row>
    <row r="269" spans="1:5" ht="39.65" customHeight="1" x14ac:dyDescent="0.35">
      <c r="A269" s="48" t="s">
        <v>297</v>
      </c>
      <c r="B269" s="49" t="s">
        <v>289</v>
      </c>
      <c r="C269" s="50">
        <v>90</v>
      </c>
      <c r="D269" s="51">
        <v>104</v>
      </c>
      <c r="E269" s="52">
        <f t="shared" ref="E269:E271" si="25">C269*D269</f>
        <v>9360</v>
      </c>
    </row>
    <row r="270" spans="1:5" ht="14.5" x14ac:dyDescent="0.35">
      <c r="A270" s="48" t="s">
        <v>298</v>
      </c>
      <c r="B270" s="49" t="s">
        <v>291</v>
      </c>
      <c r="C270" s="50">
        <v>230</v>
      </c>
      <c r="D270" s="51">
        <v>1</v>
      </c>
      <c r="E270" s="52">
        <f t="shared" si="25"/>
        <v>230</v>
      </c>
    </row>
    <row r="271" spans="1:5" ht="14.5" x14ac:dyDescent="0.35">
      <c r="A271" s="48" t="s">
        <v>299</v>
      </c>
      <c r="B271" s="49" t="s">
        <v>293</v>
      </c>
      <c r="C271" s="50">
        <v>400</v>
      </c>
      <c r="D271" s="51">
        <v>4</v>
      </c>
      <c r="E271" s="52">
        <f t="shared" si="25"/>
        <v>1600</v>
      </c>
    </row>
    <row r="272" spans="1:5" ht="14.5" x14ac:dyDescent="0.35">
      <c r="A272" s="116" t="s">
        <v>300</v>
      </c>
      <c r="B272" s="117"/>
      <c r="C272" s="117"/>
      <c r="D272" s="117"/>
      <c r="E272" s="118"/>
    </row>
    <row r="273" spans="1:5" ht="14.5" x14ac:dyDescent="0.35">
      <c r="A273" s="48" t="s">
        <v>301</v>
      </c>
      <c r="B273" s="49" t="s">
        <v>296</v>
      </c>
      <c r="C273" s="50">
        <v>90</v>
      </c>
      <c r="D273" s="51">
        <v>1</v>
      </c>
      <c r="E273" s="52">
        <f>C273*D273</f>
        <v>90</v>
      </c>
    </row>
    <row r="274" spans="1:5" ht="14.5" x14ac:dyDescent="0.35">
      <c r="A274" s="48" t="s">
        <v>302</v>
      </c>
      <c r="B274" s="49" t="s">
        <v>303</v>
      </c>
      <c r="C274" s="50">
        <v>130</v>
      </c>
      <c r="D274" s="51">
        <v>1</v>
      </c>
      <c r="E274" s="52">
        <f t="shared" ref="E274:E276" si="26">C274*D274</f>
        <v>130</v>
      </c>
    </row>
    <row r="275" spans="1:5" ht="14.5" x14ac:dyDescent="0.35">
      <c r="A275" s="48" t="s">
        <v>304</v>
      </c>
      <c r="B275" s="49" t="s">
        <v>291</v>
      </c>
      <c r="C275" s="50">
        <v>250</v>
      </c>
      <c r="D275" s="51">
        <v>10</v>
      </c>
      <c r="E275" s="52">
        <f t="shared" si="26"/>
        <v>2500</v>
      </c>
    </row>
    <row r="276" spans="1:5" ht="14.5" x14ac:dyDescent="0.35">
      <c r="A276" s="48" t="s">
        <v>305</v>
      </c>
      <c r="B276" s="49" t="s">
        <v>293</v>
      </c>
      <c r="C276" s="50">
        <v>350</v>
      </c>
      <c r="D276" s="51">
        <v>15</v>
      </c>
      <c r="E276" s="52">
        <f t="shared" si="26"/>
        <v>5250</v>
      </c>
    </row>
    <row r="277" spans="1:5" ht="14.5" x14ac:dyDescent="0.35">
      <c r="A277" s="116" t="s">
        <v>306</v>
      </c>
      <c r="B277" s="117"/>
      <c r="C277" s="117"/>
      <c r="D277" s="117"/>
      <c r="E277" s="118"/>
    </row>
    <row r="278" spans="1:5" ht="43.9" customHeight="1" x14ac:dyDescent="0.35">
      <c r="A278" s="48" t="s">
        <v>307</v>
      </c>
      <c r="B278" s="49" t="s">
        <v>308</v>
      </c>
      <c r="C278" s="50">
        <v>200</v>
      </c>
      <c r="D278" s="51">
        <v>1</v>
      </c>
      <c r="E278" s="52">
        <f>C278*D278</f>
        <v>200</v>
      </c>
    </row>
    <row r="279" spans="1:5" ht="30.65" customHeight="1" x14ac:dyDescent="0.35">
      <c r="A279" s="116" t="s">
        <v>309</v>
      </c>
      <c r="B279" s="117"/>
      <c r="C279" s="117"/>
      <c r="D279" s="117"/>
      <c r="E279" s="118"/>
    </row>
    <row r="280" spans="1:5" ht="14.5" x14ac:dyDescent="0.35">
      <c r="A280" s="48" t="s">
        <v>310</v>
      </c>
      <c r="B280" s="49" t="s">
        <v>226</v>
      </c>
      <c r="C280" s="50">
        <v>230</v>
      </c>
      <c r="D280" s="51">
        <v>1</v>
      </c>
      <c r="E280" s="52">
        <f>C280*D280</f>
        <v>230</v>
      </c>
    </row>
    <row r="281" spans="1:5" ht="14.5" x14ac:dyDescent="0.35">
      <c r="A281" s="48" t="s">
        <v>311</v>
      </c>
      <c r="B281" s="49" t="s">
        <v>270</v>
      </c>
      <c r="C281" s="50">
        <v>430</v>
      </c>
      <c r="D281" s="51">
        <v>1</v>
      </c>
      <c r="E281" s="52">
        <f t="shared" ref="E281:E283" si="27">C281*D281</f>
        <v>430</v>
      </c>
    </row>
    <row r="282" spans="1:5" ht="14.5" x14ac:dyDescent="0.35">
      <c r="A282" s="48" t="s">
        <v>312</v>
      </c>
      <c r="B282" s="49" t="s">
        <v>272</v>
      </c>
      <c r="C282" s="50">
        <v>830</v>
      </c>
      <c r="D282" s="51">
        <v>1</v>
      </c>
      <c r="E282" s="52">
        <f t="shared" si="27"/>
        <v>830</v>
      </c>
    </row>
    <row r="283" spans="1:5" ht="14.5" x14ac:dyDescent="0.35">
      <c r="A283" s="48" t="s">
        <v>313</v>
      </c>
      <c r="B283" s="49" t="s">
        <v>232</v>
      </c>
      <c r="C283" s="50">
        <v>1300</v>
      </c>
      <c r="D283" s="51">
        <v>1</v>
      </c>
      <c r="E283" s="52">
        <f t="shared" si="27"/>
        <v>1300</v>
      </c>
    </row>
    <row r="284" spans="1:5" ht="14.5" x14ac:dyDescent="0.35">
      <c r="A284" s="116" t="s">
        <v>314</v>
      </c>
      <c r="B284" s="117"/>
      <c r="C284" s="117"/>
      <c r="D284" s="117"/>
      <c r="E284" s="118"/>
    </row>
    <row r="285" spans="1:5" ht="14.5" x14ac:dyDescent="0.35">
      <c r="A285" s="48" t="s">
        <v>315</v>
      </c>
      <c r="B285" s="49" t="s">
        <v>242</v>
      </c>
      <c r="C285" s="50">
        <v>65</v>
      </c>
      <c r="D285" s="51">
        <v>1</v>
      </c>
      <c r="E285" s="52">
        <f>C285*D285</f>
        <v>65</v>
      </c>
    </row>
    <row r="286" spans="1:5" ht="14.5" x14ac:dyDescent="0.35">
      <c r="A286" s="48" t="s">
        <v>316</v>
      </c>
      <c r="B286" s="49" t="s">
        <v>244</v>
      </c>
      <c r="C286" s="50">
        <v>75</v>
      </c>
      <c r="D286" s="51">
        <v>1</v>
      </c>
      <c r="E286" s="52">
        <f t="shared" ref="E286:E291" si="28">C286*D286</f>
        <v>75</v>
      </c>
    </row>
    <row r="287" spans="1:5" ht="14.5" x14ac:dyDescent="0.35">
      <c r="A287" s="48" t="s">
        <v>317</v>
      </c>
      <c r="B287" s="49" t="s">
        <v>246</v>
      </c>
      <c r="C287" s="50">
        <v>95</v>
      </c>
      <c r="D287" s="51">
        <v>1</v>
      </c>
      <c r="E287" s="52">
        <f t="shared" si="28"/>
        <v>95</v>
      </c>
    </row>
    <row r="288" spans="1:5" ht="14.5" x14ac:dyDescent="0.35">
      <c r="A288" s="48" t="s">
        <v>318</v>
      </c>
      <c r="B288" s="49" t="s">
        <v>248</v>
      </c>
      <c r="C288" s="50">
        <v>135</v>
      </c>
      <c r="D288" s="51">
        <v>1</v>
      </c>
      <c r="E288" s="52">
        <f t="shared" si="28"/>
        <v>135</v>
      </c>
    </row>
    <row r="289" spans="1:5" ht="14.5" x14ac:dyDescent="0.35">
      <c r="A289" s="48" t="s">
        <v>319</v>
      </c>
      <c r="B289" s="49" t="s">
        <v>250</v>
      </c>
      <c r="C289" s="50">
        <v>185</v>
      </c>
      <c r="D289" s="51">
        <v>1</v>
      </c>
      <c r="E289" s="52">
        <f t="shared" si="28"/>
        <v>185</v>
      </c>
    </row>
    <row r="290" spans="1:5" ht="14.5" x14ac:dyDescent="0.35">
      <c r="A290" s="48" t="s">
        <v>320</v>
      </c>
      <c r="B290" s="49" t="s">
        <v>252</v>
      </c>
      <c r="C290" s="50">
        <v>255</v>
      </c>
      <c r="D290" s="51">
        <v>1</v>
      </c>
      <c r="E290" s="52">
        <f t="shared" si="28"/>
        <v>255</v>
      </c>
    </row>
    <row r="291" spans="1:5" ht="37.9" customHeight="1" x14ac:dyDescent="0.35">
      <c r="A291" s="48" t="s">
        <v>321</v>
      </c>
      <c r="B291" s="49" t="s">
        <v>254</v>
      </c>
      <c r="C291" s="50">
        <v>300</v>
      </c>
      <c r="D291" s="51">
        <v>1</v>
      </c>
      <c r="E291" s="52">
        <f t="shared" si="28"/>
        <v>300</v>
      </c>
    </row>
    <row r="292" spans="1:5" ht="14.5" x14ac:dyDescent="0.35">
      <c r="A292" s="125" t="s">
        <v>322</v>
      </c>
      <c r="B292" s="126"/>
      <c r="C292" s="126"/>
      <c r="D292" s="126"/>
      <c r="E292" s="127"/>
    </row>
    <row r="293" spans="1:5" ht="30" customHeight="1" x14ac:dyDescent="0.35">
      <c r="A293" s="125" t="s">
        <v>323</v>
      </c>
      <c r="B293" s="126"/>
      <c r="C293" s="126"/>
      <c r="D293" s="126"/>
      <c r="E293" s="127"/>
    </row>
    <row r="294" spans="1:5" ht="14.5" x14ac:dyDescent="0.35">
      <c r="A294" s="48" t="s">
        <v>324</v>
      </c>
      <c r="B294" s="49" t="s">
        <v>325</v>
      </c>
      <c r="C294" s="50">
        <v>21</v>
      </c>
      <c r="D294" s="51">
        <v>15312</v>
      </c>
      <c r="E294" s="52">
        <f>C294*D294</f>
        <v>321552</v>
      </c>
    </row>
    <row r="295" spans="1:5" ht="14.5" x14ac:dyDescent="0.35">
      <c r="A295" s="48" t="s">
        <v>326</v>
      </c>
      <c r="B295" s="49" t="s">
        <v>327</v>
      </c>
      <c r="C295" s="50">
        <v>21</v>
      </c>
      <c r="D295" s="51">
        <v>388</v>
      </c>
      <c r="E295" s="52">
        <f t="shared" ref="E295:E297" si="29">C295*D295</f>
        <v>8148</v>
      </c>
    </row>
    <row r="296" spans="1:5" ht="14.5" x14ac:dyDescent="0.35">
      <c r="A296" s="48" t="s">
        <v>328</v>
      </c>
      <c r="B296" s="49" t="s">
        <v>329</v>
      </c>
      <c r="C296" s="50">
        <v>20</v>
      </c>
      <c r="D296" s="51">
        <v>2340</v>
      </c>
      <c r="E296" s="52">
        <f t="shared" si="29"/>
        <v>46800</v>
      </c>
    </row>
    <row r="297" spans="1:5" ht="14.5" x14ac:dyDescent="0.35">
      <c r="A297" s="48" t="s">
        <v>330</v>
      </c>
      <c r="B297" s="49" t="s">
        <v>331</v>
      </c>
      <c r="C297" s="50">
        <v>20</v>
      </c>
      <c r="D297" s="51">
        <v>3360</v>
      </c>
      <c r="E297" s="52">
        <f t="shared" si="29"/>
        <v>67200</v>
      </c>
    </row>
    <row r="298" spans="1:5" ht="14.5" x14ac:dyDescent="0.35">
      <c r="A298" s="116" t="s">
        <v>332</v>
      </c>
      <c r="B298" s="117"/>
      <c r="C298" s="117"/>
      <c r="D298" s="117"/>
      <c r="E298" s="118"/>
    </row>
    <row r="299" spans="1:5" ht="14.5" x14ac:dyDescent="0.35">
      <c r="A299" s="48" t="s">
        <v>333</v>
      </c>
      <c r="B299" s="49" t="s">
        <v>334</v>
      </c>
      <c r="C299" s="50">
        <v>270</v>
      </c>
      <c r="D299" s="51">
        <v>1</v>
      </c>
      <c r="E299" s="52">
        <f>C299*D299</f>
        <v>270</v>
      </c>
    </row>
    <row r="300" spans="1:5" ht="14.5" x14ac:dyDescent="0.35">
      <c r="A300" s="116" t="s">
        <v>335</v>
      </c>
      <c r="B300" s="117"/>
      <c r="C300" s="117"/>
      <c r="D300" s="117"/>
      <c r="E300" s="118"/>
    </row>
    <row r="301" spans="1:5" ht="33" customHeight="1" x14ac:dyDescent="0.35">
      <c r="A301" s="125" t="s">
        <v>323</v>
      </c>
      <c r="B301" s="126"/>
      <c r="C301" s="126"/>
      <c r="D301" s="126"/>
      <c r="E301" s="127"/>
    </row>
    <row r="302" spans="1:5" ht="42" customHeight="1" x14ac:dyDescent="0.35">
      <c r="A302" s="48" t="s">
        <v>336</v>
      </c>
      <c r="B302" s="49" t="s">
        <v>337</v>
      </c>
      <c r="C302" s="50">
        <v>60</v>
      </c>
      <c r="D302" s="51">
        <v>40</v>
      </c>
      <c r="E302" s="52">
        <f>C302*D302</f>
        <v>2400</v>
      </c>
    </row>
    <row r="303" spans="1:5" ht="14.5" x14ac:dyDescent="0.35">
      <c r="A303" s="48" t="s">
        <v>338</v>
      </c>
      <c r="B303" s="49" t="s">
        <v>339</v>
      </c>
      <c r="C303" s="50">
        <v>57</v>
      </c>
      <c r="D303" s="51">
        <v>1</v>
      </c>
      <c r="E303" s="52">
        <f t="shared" ref="E303:E304" si="30">C303*D303</f>
        <v>57</v>
      </c>
    </row>
    <row r="304" spans="1:5" ht="14.5" x14ac:dyDescent="0.35">
      <c r="A304" s="48" t="s">
        <v>340</v>
      </c>
      <c r="B304" s="49" t="s">
        <v>341</v>
      </c>
      <c r="C304" s="50">
        <v>55</v>
      </c>
      <c r="D304" s="51">
        <v>1</v>
      </c>
      <c r="E304" s="52">
        <f t="shared" si="30"/>
        <v>55</v>
      </c>
    </row>
    <row r="305" spans="1:5" ht="14.5" x14ac:dyDescent="0.35">
      <c r="A305" s="116" t="s">
        <v>342</v>
      </c>
      <c r="B305" s="117"/>
      <c r="C305" s="117"/>
      <c r="D305" s="117"/>
      <c r="E305" s="118"/>
    </row>
    <row r="306" spans="1:5" ht="29" x14ac:dyDescent="0.35">
      <c r="A306" s="48" t="s">
        <v>343</v>
      </c>
      <c r="B306" s="49" t="s">
        <v>344</v>
      </c>
      <c r="C306" s="50">
        <v>800</v>
      </c>
      <c r="D306" s="51">
        <v>4</v>
      </c>
      <c r="E306" s="52">
        <f>C306*D306</f>
        <v>3200</v>
      </c>
    </row>
    <row r="307" spans="1:5" ht="29" x14ac:dyDescent="0.35">
      <c r="A307" s="48" t="s">
        <v>345</v>
      </c>
      <c r="B307" s="49" t="s">
        <v>346</v>
      </c>
      <c r="C307" s="50">
        <v>1500</v>
      </c>
      <c r="D307" s="51">
        <v>1</v>
      </c>
      <c r="E307" s="52">
        <f>C307*D307</f>
        <v>1500</v>
      </c>
    </row>
    <row r="308" spans="1:5" ht="14.5" x14ac:dyDescent="0.35">
      <c r="A308" s="125" t="s">
        <v>347</v>
      </c>
      <c r="B308" s="126"/>
      <c r="C308" s="126"/>
      <c r="D308" s="126"/>
      <c r="E308" s="127"/>
    </row>
    <row r="309" spans="1:5" ht="14.5" x14ac:dyDescent="0.35">
      <c r="A309" s="116" t="s">
        <v>348</v>
      </c>
      <c r="B309" s="117"/>
      <c r="C309" s="117"/>
      <c r="D309" s="117"/>
      <c r="E309" s="118"/>
    </row>
    <row r="310" spans="1:5" ht="14.5" x14ac:dyDescent="0.35">
      <c r="A310" s="48" t="s">
        <v>349</v>
      </c>
      <c r="B310" s="49" t="s">
        <v>11</v>
      </c>
      <c r="C310" s="50">
        <v>17</v>
      </c>
      <c r="D310" s="51">
        <v>116</v>
      </c>
      <c r="E310" s="52">
        <f>C310*D310</f>
        <v>1972</v>
      </c>
    </row>
    <row r="311" spans="1:5" ht="14.5" x14ac:dyDescent="0.35">
      <c r="A311" s="48" t="s">
        <v>350</v>
      </c>
      <c r="B311" s="49" t="s">
        <v>13</v>
      </c>
      <c r="C311" s="50">
        <v>21</v>
      </c>
      <c r="D311" s="51">
        <v>116</v>
      </c>
      <c r="E311" s="52">
        <f t="shared" ref="E311:E314" si="31">C311*D311</f>
        <v>2436</v>
      </c>
    </row>
    <row r="312" spans="1:5" ht="14.5" x14ac:dyDescent="0.35">
      <c r="A312" s="48" t="s">
        <v>351</v>
      </c>
      <c r="B312" s="49" t="s">
        <v>15</v>
      </c>
      <c r="C312" s="50">
        <v>23</v>
      </c>
      <c r="D312" s="51">
        <v>116</v>
      </c>
      <c r="E312" s="52">
        <f t="shared" si="31"/>
        <v>2668</v>
      </c>
    </row>
    <row r="313" spans="1:5" ht="14.5" x14ac:dyDescent="0.35">
      <c r="A313" s="48" t="s">
        <v>352</v>
      </c>
      <c r="B313" s="49" t="s">
        <v>17</v>
      </c>
      <c r="C313" s="50">
        <v>26</v>
      </c>
      <c r="D313" s="51">
        <v>116</v>
      </c>
      <c r="E313" s="52">
        <f t="shared" si="31"/>
        <v>3016</v>
      </c>
    </row>
    <row r="314" spans="1:5" ht="39.65" customHeight="1" x14ac:dyDescent="0.35">
      <c r="A314" s="48" t="s">
        <v>353</v>
      </c>
      <c r="B314" s="49" t="s">
        <v>19</v>
      </c>
      <c r="C314" s="50">
        <v>29</v>
      </c>
      <c r="D314" s="51">
        <v>116</v>
      </c>
      <c r="E314" s="52">
        <f t="shared" si="31"/>
        <v>3364</v>
      </c>
    </row>
    <row r="315" spans="1:5" ht="14.5" x14ac:dyDescent="0.35">
      <c r="A315" s="116" t="s">
        <v>354</v>
      </c>
      <c r="B315" s="117"/>
      <c r="C315" s="117"/>
      <c r="D315" s="117"/>
      <c r="E315" s="118"/>
    </row>
    <row r="316" spans="1:5" ht="14.5" x14ac:dyDescent="0.35">
      <c r="A316" s="48" t="s">
        <v>355</v>
      </c>
      <c r="B316" s="49" t="s">
        <v>356</v>
      </c>
      <c r="C316" s="50">
        <v>25</v>
      </c>
      <c r="D316" s="51">
        <v>24</v>
      </c>
      <c r="E316" s="52">
        <f>C316*D316</f>
        <v>600</v>
      </c>
    </row>
    <row r="317" spans="1:5" ht="14.5" x14ac:dyDescent="0.35">
      <c r="A317" s="48" t="s">
        <v>357</v>
      </c>
      <c r="B317" s="49" t="s">
        <v>358</v>
      </c>
      <c r="C317" s="50">
        <v>30</v>
      </c>
      <c r="D317" s="51">
        <v>24</v>
      </c>
      <c r="E317" s="52">
        <f t="shared" ref="E317:E326" si="32">C317*D317</f>
        <v>720</v>
      </c>
    </row>
    <row r="318" spans="1:5" ht="14.5" x14ac:dyDescent="0.35">
      <c r="A318" s="48" t="s">
        <v>359</v>
      </c>
      <c r="B318" s="49" t="s">
        <v>360</v>
      </c>
      <c r="C318" s="50">
        <v>35</v>
      </c>
      <c r="D318" s="51">
        <v>16</v>
      </c>
      <c r="E318" s="52">
        <f t="shared" si="32"/>
        <v>560</v>
      </c>
    </row>
    <row r="319" spans="1:5" ht="14.5" x14ac:dyDescent="0.35">
      <c r="A319" s="48" t="s">
        <v>361</v>
      </c>
      <c r="B319" s="49" t="s">
        <v>362</v>
      </c>
      <c r="C319" s="50">
        <v>25</v>
      </c>
      <c r="D319" s="51">
        <v>8</v>
      </c>
      <c r="E319" s="52">
        <f t="shared" si="32"/>
        <v>200</v>
      </c>
    </row>
    <row r="320" spans="1:5" ht="14.5" x14ac:dyDescent="0.35">
      <c r="A320" s="48" t="s">
        <v>363</v>
      </c>
      <c r="B320" s="49" t="s">
        <v>364</v>
      </c>
      <c r="C320" s="50">
        <v>45</v>
      </c>
      <c r="D320" s="51">
        <v>4</v>
      </c>
      <c r="E320" s="52">
        <f t="shared" si="32"/>
        <v>180</v>
      </c>
    </row>
    <row r="321" spans="1:5" ht="14.5" x14ac:dyDescent="0.35">
      <c r="A321" s="48" t="s">
        <v>365</v>
      </c>
      <c r="B321" s="49" t="s">
        <v>366</v>
      </c>
      <c r="C321" s="50">
        <v>25</v>
      </c>
      <c r="D321" s="51">
        <v>4</v>
      </c>
      <c r="E321" s="52">
        <f t="shared" si="32"/>
        <v>100</v>
      </c>
    </row>
    <row r="322" spans="1:5" ht="14.5" x14ac:dyDescent="0.35">
      <c r="A322" s="48" t="s">
        <v>367</v>
      </c>
      <c r="B322" s="49" t="s">
        <v>368</v>
      </c>
      <c r="C322" s="50">
        <v>45</v>
      </c>
      <c r="D322" s="51">
        <v>4</v>
      </c>
      <c r="E322" s="52">
        <f t="shared" si="32"/>
        <v>180</v>
      </c>
    </row>
    <row r="323" spans="1:5" ht="14.5" x14ac:dyDescent="0.35">
      <c r="A323" s="48" t="s">
        <v>369</v>
      </c>
      <c r="B323" s="49" t="s">
        <v>370</v>
      </c>
      <c r="C323" s="50">
        <v>25</v>
      </c>
      <c r="D323" s="51">
        <v>8</v>
      </c>
      <c r="E323" s="52">
        <f t="shared" si="32"/>
        <v>200</v>
      </c>
    </row>
    <row r="324" spans="1:5" ht="14.5" x14ac:dyDescent="0.35">
      <c r="A324" s="48" t="s">
        <v>371</v>
      </c>
      <c r="B324" s="49" t="s">
        <v>372</v>
      </c>
      <c r="C324" s="50">
        <v>45</v>
      </c>
      <c r="D324" s="51">
        <v>4</v>
      </c>
      <c r="E324" s="52">
        <f t="shared" si="32"/>
        <v>180</v>
      </c>
    </row>
    <row r="325" spans="1:5" ht="14.5" x14ac:dyDescent="0.35">
      <c r="A325" s="48" t="s">
        <v>373</v>
      </c>
      <c r="B325" s="49" t="s">
        <v>374</v>
      </c>
      <c r="C325" s="50">
        <v>50</v>
      </c>
      <c r="D325" s="51">
        <v>8</v>
      </c>
      <c r="E325" s="52">
        <f t="shared" si="32"/>
        <v>400</v>
      </c>
    </row>
    <row r="326" spans="1:5" ht="14.5" x14ac:dyDescent="0.35">
      <c r="A326" s="48" t="s">
        <v>375</v>
      </c>
      <c r="B326" s="49" t="s">
        <v>376</v>
      </c>
      <c r="C326" s="50">
        <v>60</v>
      </c>
      <c r="D326" s="51">
        <v>4</v>
      </c>
      <c r="E326" s="52">
        <f t="shared" si="32"/>
        <v>240</v>
      </c>
    </row>
    <row r="327" spans="1:5" ht="23.5" x14ac:dyDescent="0.55000000000000004">
      <c r="A327" s="55" t="s">
        <v>377</v>
      </c>
      <c r="B327" s="56"/>
      <c r="C327" s="57"/>
      <c r="D327" s="58"/>
      <c r="E327" s="59"/>
    </row>
    <row r="328" spans="1:5" ht="14.5" x14ac:dyDescent="0.35">
      <c r="A328" s="116" t="s">
        <v>378</v>
      </c>
      <c r="B328" s="117"/>
      <c r="C328" s="117"/>
      <c r="D328" s="117"/>
      <c r="E328" s="118"/>
    </row>
    <row r="329" spans="1:5" ht="36" customHeight="1" x14ac:dyDescent="0.35">
      <c r="A329" s="125" t="s">
        <v>379</v>
      </c>
      <c r="B329" s="126"/>
      <c r="C329" s="126"/>
      <c r="D329" s="126"/>
      <c r="E329" s="127"/>
    </row>
    <row r="330" spans="1:5" ht="14.5" x14ac:dyDescent="0.35">
      <c r="A330" s="48" t="s">
        <v>380</v>
      </c>
      <c r="B330" s="49" t="s">
        <v>337</v>
      </c>
      <c r="C330" s="50">
        <v>95</v>
      </c>
      <c r="D330" s="51">
        <v>50</v>
      </c>
      <c r="E330" s="52">
        <f>C330*D330</f>
        <v>4750</v>
      </c>
    </row>
    <row r="331" spans="1:5" ht="14.5" x14ac:dyDescent="0.35">
      <c r="A331" s="48" t="s">
        <v>381</v>
      </c>
      <c r="B331" s="49" t="s">
        <v>339</v>
      </c>
      <c r="C331" s="50">
        <v>90</v>
      </c>
      <c r="D331" s="51">
        <v>10</v>
      </c>
      <c r="E331" s="52">
        <f t="shared" ref="E331:E332" si="33">C331*D331</f>
        <v>900</v>
      </c>
    </row>
    <row r="332" spans="1:5" ht="14.5" x14ac:dyDescent="0.35">
      <c r="A332" s="60" t="s">
        <v>382</v>
      </c>
      <c r="B332" s="61" t="s">
        <v>341</v>
      </c>
      <c r="C332">
        <v>90</v>
      </c>
      <c r="D332" s="62">
        <v>1</v>
      </c>
      <c r="E332" s="52">
        <f t="shared" si="33"/>
        <v>90</v>
      </c>
    </row>
    <row r="333" spans="1:5" ht="14.5" x14ac:dyDescent="0.35">
      <c r="A333" s="130" t="s">
        <v>383</v>
      </c>
      <c r="B333" s="130"/>
      <c r="C333" s="130"/>
      <c r="D333" s="130"/>
      <c r="E333" s="63">
        <f>SUM(E16:E332)</f>
        <v>893331</v>
      </c>
    </row>
  </sheetData>
  <mergeCells count="71">
    <mergeCell ref="A43:E43"/>
    <mergeCell ref="A1:E1"/>
    <mergeCell ref="B14:E14"/>
    <mergeCell ref="A5:E6"/>
    <mergeCell ref="A3:E3"/>
    <mergeCell ref="A15:E15"/>
    <mergeCell ref="A22:E22"/>
    <mergeCell ref="A28:E28"/>
    <mergeCell ref="A37:E37"/>
    <mergeCell ref="A8:E8"/>
    <mergeCell ref="A128:E128"/>
    <mergeCell ref="A145:E145"/>
    <mergeCell ref="A133:E133"/>
    <mergeCell ref="B139:E139"/>
    <mergeCell ref="A140:E140"/>
    <mergeCell ref="B114:E114"/>
    <mergeCell ref="B111:E111"/>
    <mergeCell ref="A115:E115"/>
    <mergeCell ref="A122:E122"/>
    <mergeCell ref="B127:E127"/>
    <mergeCell ref="A216:E216"/>
    <mergeCell ref="A225:E225"/>
    <mergeCell ref="A232:E232"/>
    <mergeCell ref="B194:E194"/>
    <mergeCell ref="A195:E195"/>
    <mergeCell ref="A202:E202"/>
    <mergeCell ref="A209:E209"/>
    <mergeCell ref="A243:E243"/>
    <mergeCell ref="A246:E246"/>
    <mergeCell ref="A247:E247"/>
    <mergeCell ref="A252:E252"/>
    <mergeCell ref="A292:E292"/>
    <mergeCell ref="A284:E284"/>
    <mergeCell ref="A293:E293"/>
    <mergeCell ref="A261:E261"/>
    <mergeCell ref="A262:E262"/>
    <mergeCell ref="A267:E267"/>
    <mergeCell ref="A272:E272"/>
    <mergeCell ref="A277:E277"/>
    <mergeCell ref="B173:E173"/>
    <mergeCell ref="A174:E174"/>
    <mergeCell ref="A181:E181"/>
    <mergeCell ref="A188:E188"/>
    <mergeCell ref="B51:E51"/>
    <mergeCell ref="A67:E67"/>
    <mergeCell ref="A74:E74"/>
    <mergeCell ref="A104:E104"/>
    <mergeCell ref="B66:E66"/>
    <mergeCell ref="A52:E52"/>
    <mergeCell ref="A59:E59"/>
    <mergeCell ref="B81:E81"/>
    <mergeCell ref="A82:E82"/>
    <mergeCell ref="A89:E89"/>
    <mergeCell ref="B96:E96"/>
    <mergeCell ref="A97:E97"/>
    <mergeCell ref="A333:D333"/>
    <mergeCell ref="A167:E167"/>
    <mergeCell ref="A151:A152"/>
    <mergeCell ref="B151:E152"/>
    <mergeCell ref="A153:E153"/>
    <mergeCell ref="A160:E160"/>
    <mergeCell ref="A309:E309"/>
    <mergeCell ref="A315:E315"/>
    <mergeCell ref="A328:E328"/>
    <mergeCell ref="A329:E329"/>
    <mergeCell ref="A298:E298"/>
    <mergeCell ref="A300:E300"/>
    <mergeCell ref="A301:E301"/>
    <mergeCell ref="A305:E305"/>
    <mergeCell ref="A308:E308"/>
    <mergeCell ref="A279:E279"/>
  </mergeCells>
  <phoneticPr fontId="8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9" orientation="portrait" r:id="rId1"/>
  <headerFooter>
    <oddHeader>&amp;L&amp;"Times New Roman,Normal"Procédure n°2021-15</oddHeader>
    <oddFooter>&amp;C&amp;"Times New Roman,Normal"&amp;P/&amp;N</oddFooter>
  </headerFooter>
  <rowBreaks count="2" manualBreakCount="2">
    <brk id="65" max="4" man="1"/>
    <brk id="110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0E8E8-981D-41C5-9002-7E06ED2E00EE}">
  <dimension ref="A1:E333"/>
  <sheetViews>
    <sheetView topLeftCell="A310" zoomScaleNormal="100" zoomScaleSheetLayoutView="85" workbookViewId="0">
      <selection activeCell="C331" sqref="C331"/>
    </sheetView>
  </sheetViews>
  <sheetFormatPr baseColWidth="10" defaultColWidth="11.453125" defaultRowHeight="14" x14ac:dyDescent="0.35"/>
  <cols>
    <col min="1" max="1" width="10.26953125" style="10" customWidth="1"/>
    <col min="2" max="2" width="40.26953125" style="10" customWidth="1"/>
    <col min="3" max="3" width="16.26953125" style="5" customWidth="1"/>
    <col min="4" max="4" width="16.26953125" style="10" customWidth="1"/>
    <col min="5" max="5" width="16.26953125" style="29" customWidth="1"/>
    <col min="6" max="16384" width="11.453125" style="10"/>
  </cols>
  <sheetData>
    <row r="1" spans="1:5" ht="15" x14ac:dyDescent="0.35">
      <c r="A1" s="67" t="s">
        <v>0</v>
      </c>
      <c r="B1" s="67"/>
      <c r="C1" s="67"/>
      <c r="D1" s="67"/>
      <c r="E1" s="67"/>
    </row>
    <row r="2" spans="1:5" ht="8.5" customHeight="1" x14ac:dyDescent="0.35">
      <c r="A2" s="4"/>
    </row>
    <row r="3" spans="1:5" ht="15" x14ac:dyDescent="0.35">
      <c r="A3" s="67" t="s">
        <v>387</v>
      </c>
      <c r="B3" s="67"/>
      <c r="C3" s="67"/>
      <c r="D3" s="67"/>
      <c r="E3" s="67"/>
    </row>
    <row r="4" spans="1:5" ht="8.5" customHeight="1" x14ac:dyDescent="0.35">
      <c r="A4" s="4"/>
    </row>
    <row r="5" spans="1:5" ht="14.15" customHeight="1" x14ac:dyDescent="0.35">
      <c r="A5" s="68" t="s">
        <v>1</v>
      </c>
      <c r="B5" s="68"/>
      <c r="C5" s="68"/>
      <c r="D5" s="68"/>
      <c r="E5" s="68"/>
    </row>
    <row r="6" spans="1:5" ht="14.15" customHeight="1" x14ac:dyDescent="0.35">
      <c r="A6" s="68"/>
      <c r="B6" s="68"/>
      <c r="C6" s="68"/>
      <c r="D6" s="68"/>
      <c r="E6" s="68"/>
    </row>
    <row r="7" spans="1:5" ht="14.15" customHeight="1" x14ac:dyDescent="0.35">
      <c r="A7" s="64"/>
      <c r="B7" s="65"/>
      <c r="C7" s="65"/>
      <c r="D7" s="65"/>
      <c r="E7" s="65"/>
    </row>
    <row r="8" spans="1:5" ht="54.65" customHeight="1" x14ac:dyDescent="0.35">
      <c r="A8" s="72" t="s">
        <v>391</v>
      </c>
      <c r="B8" s="72"/>
      <c r="C8" s="72"/>
      <c r="D8" s="72"/>
      <c r="E8" s="72"/>
    </row>
    <row r="9" spans="1:5" ht="14.15" customHeight="1" x14ac:dyDescent="0.35">
      <c r="A9" s="65"/>
      <c r="B9" s="65"/>
      <c r="C9" s="65"/>
      <c r="D9" s="65"/>
      <c r="E9" s="65"/>
    </row>
    <row r="10" spans="1:5" ht="0.65" customHeight="1" x14ac:dyDescent="0.3">
      <c r="A10" s="1"/>
      <c r="B10" s="1"/>
      <c r="C10" s="1"/>
      <c r="D10" s="1"/>
      <c r="E10" s="30"/>
    </row>
    <row r="11" spans="1:5" ht="28.15" customHeight="1" x14ac:dyDescent="0.35">
      <c r="A11" s="2" t="s">
        <v>2</v>
      </c>
      <c r="B11" s="2" t="s">
        <v>3</v>
      </c>
      <c r="C11" s="2" t="s">
        <v>4</v>
      </c>
      <c r="D11" s="3" t="s">
        <v>5</v>
      </c>
      <c r="E11" s="31" t="s">
        <v>6</v>
      </c>
    </row>
    <row r="12" spans="1:5" ht="8.5" customHeight="1" x14ac:dyDescent="0.35">
      <c r="A12" s="5"/>
    </row>
    <row r="13" spans="1:5" ht="8.5" customHeight="1" x14ac:dyDescent="0.35">
      <c r="A13" s="5"/>
      <c r="C13" s="10"/>
    </row>
    <row r="14" spans="1:5" ht="28.5" customHeight="1" x14ac:dyDescent="0.35">
      <c r="A14" s="6" t="s">
        <v>7</v>
      </c>
      <c r="B14" s="69" t="s">
        <v>8</v>
      </c>
      <c r="C14" s="70"/>
      <c r="D14" s="70"/>
      <c r="E14" s="71"/>
    </row>
    <row r="15" spans="1:5" x14ac:dyDescent="0.35">
      <c r="A15" s="66" t="s">
        <v>9</v>
      </c>
      <c r="B15" s="66"/>
      <c r="C15" s="66"/>
      <c r="D15" s="66"/>
      <c r="E15" s="66"/>
    </row>
    <row r="16" spans="1:5" x14ac:dyDescent="0.35">
      <c r="A16" s="6" t="s">
        <v>10</v>
      </c>
      <c r="B16" s="11" t="s">
        <v>11</v>
      </c>
      <c r="C16" s="20">
        <v>47.9</v>
      </c>
      <c r="D16" s="12">
        <v>1</v>
      </c>
      <c r="E16" s="32">
        <f>C16*D16</f>
        <v>47.9</v>
      </c>
    </row>
    <row r="17" spans="1:5" x14ac:dyDescent="0.35">
      <c r="A17" s="6" t="s">
        <v>12</v>
      </c>
      <c r="B17" s="11" t="s">
        <v>13</v>
      </c>
      <c r="C17" s="20">
        <v>48.9</v>
      </c>
      <c r="D17" s="12">
        <v>1</v>
      </c>
      <c r="E17" s="32">
        <f t="shared" ref="E17:E20" si="0">C17*D17</f>
        <v>48.9</v>
      </c>
    </row>
    <row r="18" spans="1:5" x14ac:dyDescent="0.35">
      <c r="A18" s="6" t="s">
        <v>14</v>
      </c>
      <c r="B18" s="11" t="s">
        <v>15</v>
      </c>
      <c r="C18" s="20">
        <v>56.2</v>
      </c>
      <c r="D18" s="12">
        <v>2</v>
      </c>
      <c r="E18" s="32">
        <f t="shared" si="0"/>
        <v>112.4</v>
      </c>
    </row>
    <row r="19" spans="1:5" x14ac:dyDescent="0.35">
      <c r="A19" s="6" t="s">
        <v>16</v>
      </c>
      <c r="B19" s="11" t="s">
        <v>17</v>
      </c>
      <c r="C19" s="20">
        <v>61.4</v>
      </c>
      <c r="D19" s="12">
        <v>2</v>
      </c>
      <c r="E19" s="32">
        <f t="shared" si="0"/>
        <v>122.8</v>
      </c>
    </row>
    <row r="20" spans="1:5" x14ac:dyDescent="0.35">
      <c r="A20" s="6" t="s">
        <v>18</v>
      </c>
      <c r="B20" s="11" t="s">
        <v>19</v>
      </c>
      <c r="C20" s="20">
        <v>64.5</v>
      </c>
      <c r="D20" s="12">
        <v>2</v>
      </c>
      <c r="E20" s="32">
        <f t="shared" si="0"/>
        <v>129</v>
      </c>
    </row>
    <row r="21" spans="1:5" x14ac:dyDescent="0.35">
      <c r="A21" s="6" t="s">
        <v>20</v>
      </c>
      <c r="B21" s="11" t="s">
        <v>21</v>
      </c>
      <c r="C21" s="20">
        <v>67.599999999999994</v>
      </c>
      <c r="D21" s="12">
        <v>2</v>
      </c>
      <c r="E21" s="32">
        <f>C21*D21</f>
        <v>135.19999999999999</v>
      </c>
    </row>
    <row r="22" spans="1:5" x14ac:dyDescent="0.35">
      <c r="A22" s="74" t="s">
        <v>22</v>
      </c>
      <c r="B22" s="75"/>
      <c r="C22" s="75"/>
      <c r="D22" s="75"/>
      <c r="E22" s="76"/>
    </row>
    <row r="23" spans="1:5" x14ac:dyDescent="0.35">
      <c r="A23" s="6" t="s">
        <v>23</v>
      </c>
      <c r="B23" s="11" t="s">
        <v>11</v>
      </c>
      <c r="C23" s="20">
        <v>34.4</v>
      </c>
      <c r="D23" s="12">
        <v>2</v>
      </c>
      <c r="E23" s="32">
        <f>C23*D23</f>
        <v>68.8</v>
      </c>
    </row>
    <row r="24" spans="1:5" x14ac:dyDescent="0.35">
      <c r="A24" s="6" t="s">
        <v>24</v>
      </c>
      <c r="B24" s="11" t="s">
        <v>13</v>
      </c>
      <c r="C24" s="20">
        <v>36.4</v>
      </c>
      <c r="D24" s="12">
        <v>3</v>
      </c>
      <c r="E24" s="32">
        <f t="shared" ref="E24:E27" si="1">C24*D24</f>
        <v>109.19999999999999</v>
      </c>
    </row>
    <row r="25" spans="1:5" x14ac:dyDescent="0.35">
      <c r="A25" s="6" t="s">
        <v>25</v>
      </c>
      <c r="B25" s="11" t="s">
        <v>15</v>
      </c>
      <c r="C25" s="20">
        <v>41.6</v>
      </c>
      <c r="D25" s="12">
        <v>2</v>
      </c>
      <c r="E25" s="32">
        <f t="shared" si="1"/>
        <v>83.2</v>
      </c>
    </row>
    <row r="26" spans="1:5" x14ac:dyDescent="0.35">
      <c r="A26" s="6" t="s">
        <v>26</v>
      </c>
      <c r="B26" s="11" t="s">
        <v>17</v>
      </c>
      <c r="C26" s="20">
        <v>46.8</v>
      </c>
      <c r="D26" s="12">
        <v>3</v>
      </c>
      <c r="E26" s="32">
        <f t="shared" si="1"/>
        <v>140.39999999999998</v>
      </c>
    </row>
    <row r="27" spans="1:5" x14ac:dyDescent="0.35">
      <c r="A27" s="6" t="s">
        <v>27</v>
      </c>
      <c r="B27" s="11" t="s">
        <v>28</v>
      </c>
      <c r="C27" s="20">
        <v>52</v>
      </c>
      <c r="D27" s="12">
        <v>2</v>
      </c>
      <c r="E27" s="32">
        <f t="shared" si="1"/>
        <v>104</v>
      </c>
    </row>
    <row r="28" spans="1:5" x14ac:dyDescent="0.35">
      <c r="A28" s="66" t="s">
        <v>29</v>
      </c>
      <c r="B28" s="66"/>
      <c r="C28" s="66"/>
      <c r="D28" s="66"/>
      <c r="E28" s="66"/>
    </row>
    <row r="29" spans="1:5" x14ac:dyDescent="0.35">
      <c r="A29" s="6" t="s">
        <v>30</v>
      </c>
      <c r="B29" s="11" t="s">
        <v>31</v>
      </c>
      <c r="C29" s="20">
        <v>67.599999999999994</v>
      </c>
      <c r="D29" s="12">
        <v>1</v>
      </c>
      <c r="E29" s="32">
        <f>C29*D29</f>
        <v>67.599999999999994</v>
      </c>
    </row>
    <row r="30" spans="1:5" x14ac:dyDescent="0.35">
      <c r="A30" s="6" t="s">
        <v>32</v>
      </c>
      <c r="B30" s="11" t="s">
        <v>33</v>
      </c>
      <c r="C30" s="20">
        <v>109.2</v>
      </c>
      <c r="D30" s="12">
        <v>2</v>
      </c>
      <c r="E30" s="32">
        <f t="shared" ref="E30:E33" si="2">C30*D30</f>
        <v>218.4</v>
      </c>
    </row>
    <row r="31" spans="1:5" x14ac:dyDescent="0.35">
      <c r="A31" s="6" t="s">
        <v>34</v>
      </c>
      <c r="B31" s="11" t="s">
        <v>35</v>
      </c>
      <c r="C31" s="20">
        <v>208</v>
      </c>
      <c r="D31" s="12">
        <v>2</v>
      </c>
      <c r="E31" s="32">
        <f t="shared" si="2"/>
        <v>416</v>
      </c>
    </row>
    <row r="32" spans="1:5" x14ac:dyDescent="0.35">
      <c r="A32" s="6" t="s">
        <v>36</v>
      </c>
      <c r="B32" s="11" t="s">
        <v>37</v>
      </c>
      <c r="C32" s="20">
        <v>312</v>
      </c>
      <c r="D32" s="12">
        <v>1</v>
      </c>
      <c r="E32" s="32">
        <f t="shared" si="2"/>
        <v>312</v>
      </c>
    </row>
    <row r="33" spans="1:5" x14ac:dyDescent="0.35">
      <c r="A33" s="6" t="s">
        <v>38</v>
      </c>
      <c r="B33" s="11" t="s">
        <v>39</v>
      </c>
      <c r="C33" s="20">
        <v>572</v>
      </c>
      <c r="D33" s="12">
        <v>1</v>
      </c>
      <c r="E33" s="32">
        <f t="shared" si="2"/>
        <v>572</v>
      </c>
    </row>
    <row r="34" spans="1:5" ht="8.5" customHeight="1" x14ac:dyDescent="0.35">
      <c r="A34" s="7"/>
      <c r="B34" s="13"/>
      <c r="C34" s="21"/>
      <c r="D34" s="14"/>
      <c r="E34" s="33"/>
    </row>
    <row r="35" spans="1:5" x14ac:dyDescent="0.35">
      <c r="A35" s="6" t="s">
        <v>40</v>
      </c>
      <c r="B35" s="15" t="s">
        <v>41</v>
      </c>
      <c r="C35" s="20">
        <v>37.5</v>
      </c>
      <c r="D35" s="12">
        <v>10</v>
      </c>
      <c r="E35" s="32">
        <f>C35*D35</f>
        <v>375</v>
      </c>
    </row>
    <row r="36" spans="1:5" ht="8.5" customHeight="1" x14ac:dyDescent="0.35">
      <c r="A36" s="8"/>
      <c r="B36" s="16"/>
      <c r="C36" s="8"/>
      <c r="D36" s="17"/>
      <c r="E36" s="34"/>
    </row>
    <row r="37" spans="1:5" ht="27" customHeight="1" x14ac:dyDescent="0.35">
      <c r="A37" s="66" t="s">
        <v>42</v>
      </c>
      <c r="B37" s="66"/>
      <c r="C37" s="66"/>
      <c r="D37" s="66"/>
      <c r="E37" s="66"/>
    </row>
    <row r="38" spans="1:5" ht="22.9" customHeight="1" x14ac:dyDescent="0.35">
      <c r="A38" s="6" t="s">
        <v>43</v>
      </c>
      <c r="B38" s="11" t="s">
        <v>31</v>
      </c>
      <c r="C38" s="20">
        <v>46.8</v>
      </c>
      <c r="D38" s="12">
        <v>1</v>
      </c>
      <c r="E38" s="32">
        <f>C38*D38</f>
        <v>46.8</v>
      </c>
    </row>
    <row r="39" spans="1:5" ht="28.5" customHeight="1" x14ac:dyDescent="0.35">
      <c r="A39" s="6" t="s">
        <v>44</v>
      </c>
      <c r="B39" s="11" t="s">
        <v>33</v>
      </c>
      <c r="C39" s="20">
        <v>104</v>
      </c>
      <c r="D39" s="12">
        <v>2</v>
      </c>
      <c r="E39" s="32">
        <f t="shared" ref="E39:E42" si="3">C39*D39</f>
        <v>208</v>
      </c>
    </row>
    <row r="40" spans="1:5" x14ac:dyDescent="0.35">
      <c r="A40" s="6" t="s">
        <v>45</v>
      </c>
      <c r="B40" s="11" t="s">
        <v>35</v>
      </c>
      <c r="C40" s="20">
        <v>208</v>
      </c>
      <c r="D40" s="12">
        <v>2</v>
      </c>
      <c r="E40" s="32">
        <f t="shared" si="3"/>
        <v>416</v>
      </c>
    </row>
    <row r="41" spans="1:5" x14ac:dyDescent="0.35">
      <c r="A41" s="6" t="s">
        <v>46</v>
      </c>
      <c r="B41" s="11" t="s">
        <v>37</v>
      </c>
      <c r="C41" s="20">
        <v>468</v>
      </c>
      <c r="D41" s="12">
        <v>1</v>
      </c>
      <c r="E41" s="32">
        <f t="shared" si="3"/>
        <v>468</v>
      </c>
    </row>
    <row r="42" spans="1:5" x14ac:dyDescent="0.35">
      <c r="A42" s="6" t="s">
        <v>47</v>
      </c>
      <c r="B42" s="11" t="s">
        <v>39</v>
      </c>
      <c r="C42" s="20">
        <v>644.79999999999995</v>
      </c>
      <c r="D42" s="12">
        <v>1</v>
      </c>
      <c r="E42" s="32">
        <f t="shared" si="3"/>
        <v>644.79999999999995</v>
      </c>
    </row>
    <row r="43" spans="1:5" ht="28.15" customHeight="1" x14ac:dyDescent="0.35">
      <c r="A43" s="74" t="s">
        <v>48</v>
      </c>
      <c r="B43" s="75"/>
      <c r="C43" s="75"/>
      <c r="D43" s="75"/>
      <c r="E43" s="76"/>
    </row>
    <row r="44" spans="1:5" x14ac:dyDescent="0.35">
      <c r="A44" s="6" t="s">
        <v>49</v>
      </c>
      <c r="B44" s="11" t="s">
        <v>11</v>
      </c>
      <c r="C44" s="20">
        <v>26</v>
      </c>
      <c r="D44" s="12">
        <v>2</v>
      </c>
      <c r="E44" s="32">
        <f>C44*D44</f>
        <v>52</v>
      </c>
    </row>
    <row r="45" spans="1:5" x14ac:dyDescent="0.35">
      <c r="A45" s="6" t="s">
        <v>50</v>
      </c>
      <c r="B45" s="11" t="s">
        <v>13</v>
      </c>
      <c r="C45" s="20">
        <v>30.200000000000003</v>
      </c>
      <c r="D45" s="12">
        <v>3</v>
      </c>
      <c r="E45" s="32">
        <f t="shared" ref="E45:E48" si="4">C45*D45</f>
        <v>90.600000000000009</v>
      </c>
    </row>
    <row r="46" spans="1:5" x14ac:dyDescent="0.35">
      <c r="A46" s="6" t="s">
        <v>51</v>
      </c>
      <c r="B46" s="11" t="s">
        <v>15</v>
      </c>
      <c r="C46" s="20">
        <v>36.4</v>
      </c>
      <c r="D46" s="12">
        <v>2</v>
      </c>
      <c r="E46" s="32">
        <f t="shared" si="4"/>
        <v>72.8</v>
      </c>
    </row>
    <row r="47" spans="1:5" x14ac:dyDescent="0.35">
      <c r="A47" s="6" t="s">
        <v>52</v>
      </c>
      <c r="B47" s="11" t="s">
        <v>17</v>
      </c>
      <c r="C47" s="20">
        <v>41.6</v>
      </c>
      <c r="D47" s="12">
        <v>3</v>
      </c>
      <c r="E47" s="32">
        <f t="shared" si="4"/>
        <v>124.80000000000001</v>
      </c>
    </row>
    <row r="48" spans="1:5" x14ac:dyDescent="0.35">
      <c r="A48" s="6" t="s">
        <v>53</v>
      </c>
      <c r="B48" s="11" t="s">
        <v>28</v>
      </c>
      <c r="C48" s="20">
        <v>44.800000000000004</v>
      </c>
      <c r="D48" s="12">
        <v>2</v>
      </c>
      <c r="E48" s="32">
        <f t="shared" si="4"/>
        <v>89.600000000000009</v>
      </c>
    </row>
    <row r="49" spans="1:5" x14ac:dyDescent="0.35">
      <c r="A49" s="8"/>
      <c r="B49" s="16"/>
      <c r="C49" s="8"/>
      <c r="D49" s="17"/>
      <c r="E49" s="34"/>
    </row>
    <row r="50" spans="1:5" x14ac:dyDescent="0.35">
      <c r="A50" s="8"/>
      <c r="B50" s="16"/>
      <c r="C50" s="8"/>
      <c r="D50" s="17"/>
      <c r="E50" s="34"/>
    </row>
    <row r="51" spans="1:5" x14ac:dyDescent="0.35">
      <c r="A51" s="22" t="s">
        <v>54</v>
      </c>
      <c r="B51" s="77" t="s">
        <v>55</v>
      </c>
      <c r="C51" s="78"/>
      <c r="D51" s="78"/>
      <c r="E51" s="79"/>
    </row>
    <row r="52" spans="1:5" x14ac:dyDescent="0.35">
      <c r="A52" s="80" t="s">
        <v>56</v>
      </c>
      <c r="B52" s="80"/>
      <c r="C52" s="80"/>
      <c r="D52" s="80"/>
      <c r="E52" s="80"/>
    </row>
    <row r="53" spans="1:5" ht="16.5" customHeight="1" x14ac:dyDescent="0.35">
      <c r="A53" s="6" t="s">
        <v>57</v>
      </c>
      <c r="B53" s="11" t="s">
        <v>11</v>
      </c>
      <c r="C53" s="20">
        <v>41.6</v>
      </c>
      <c r="D53" s="12">
        <v>1</v>
      </c>
      <c r="E53" s="32">
        <f>C53*D53</f>
        <v>41.6</v>
      </c>
    </row>
    <row r="54" spans="1:5" ht="28.5" customHeight="1" x14ac:dyDescent="0.35">
      <c r="A54" s="6" t="s">
        <v>58</v>
      </c>
      <c r="B54" s="11" t="s">
        <v>13</v>
      </c>
      <c r="C54" s="20">
        <v>42.7</v>
      </c>
      <c r="D54" s="12">
        <v>2</v>
      </c>
      <c r="E54" s="32">
        <f t="shared" ref="E54:E58" si="5">C54*D54</f>
        <v>85.4</v>
      </c>
    </row>
    <row r="55" spans="1:5" x14ac:dyDescent="0.35">
      <c r="A55" s="6" t="s">
        <v>59</v>
      </c>
      <c r="B55" s="11" t="s">
        <v>15</v>
      </c>
      <c r="C55" s="20">
        <v>43.7</v>
      </c>
      <c r="D55" s="12">
        <v>4</v>
      </c>
      <c r="E55" s="32">
        <f t="shared" si="5"/>
        <v>174.8</v>
      </c>
    </row>
    <row r="56" spans="1:5" x14ac:dyDescent="0.35">
      <c r="A56" s="6" t="s">
        <v>60</v>
      </c>
      <c r="B56" s="11" t="s">
        <v>17</v>
      </c>
      <c r="C56" s="20">
        <v>46.8</v>
      </c>
      <c r="D56" s="12">
        <v>7</v>
      </c>
      <c r="E56" s="32">
        <f t="shared" si="5"/>
        <v>327.59999999999997</v>
      </c>
    </row>
    <row r="57" spans="1:5" x14ac:dyDescent="0.35">
      <c r="A57" s="6" t="s">
        <v>61</v>
      </c>
      <c r="B57" s="11" t="s">
        <v>19</v>
      </c>
      <c r="C57" s="20">
        <v>51</v>
      </c>
      <c r="D57" s="12">
        <v>4</v>
      </c>
      <c r="E57" s="32">
        <f t="shared" si="5"/>
        <v>204</v>
      </c>
    </row>
    <row r="58" spans="1:5" x14ac:dyDescent="0.35">
      <c r="A58" s="6" t="s">
        <v>62</v>
      </c>
      <c r="B58" s="11" t="s">
        <v>21</v>
      </c>
      <c r="C58" s="20">
        <v>57.2</v>
      </c>
      <c r="D58" s="12">
        <v>2</v>
      </c>
      <c r="E58" s="32">
        <f t="shared" si="5"/>
        <v>114.4</v>
      </c>
    </row>
    <row r="59" spans="1:5" x14ac:dyDescent="0.35">
      <c r="A59" s="80" t="s">
        <v>63</v>
      </c>
      <c r="B59" s="80"/>
      <c r="C59" s="80"/>
      <c r="D59" s="80"/>
      <c r="E59" s="80"/>
    </row>
    <row r="60" spans="1:5" x14ac:dyDescent="0.35">
      <c r="A60" s="6" t="s">
        <v>64</v>
      </c>
      <c r="B60" s="11" t="s">
        <v>11</v>
      </c>
      <c r="C60" s="20">
        <v>31.2</v>
      </c>
      <c r="D60" s="12">
        <v>13</v>
      </c>
      <c r="E60" s="32">
        <f>C60*D60</f>
        <v>405.59999999999997</v>
      </c>
    </row>
    <row r="61" spans="1:5" x14ac:dyDescent="0.35">
      <c r="A61" s="6" t="s">
        <v>65</v>
      </c>
      <c r="B61" s="11" t="s">
        <v>13</v>
      </c>
      <c r="C61" s="20">
        <v>36.4</v>
      </c>
      <c r="D61" s="12">
        <v>55</v>
      </c>
      <c r="E61" s="32">
        <f t="shared" ref="E61:E64" si="6">C61*D61</f>
        <v>2002</v>
      </c>
    </row>
    <row r="62" spans="1:5" x14ac:dyDescent="0.35">
      <c r="A62" s="6" t="s">
        <v>66</v>
      </c>
      <c r="B62" s="11" t="s">
        <v>15</v>
      </c>
      <c r="C62" s="20">
        <v>37.5</v>
      </c>
      <c r="D62" s="12">
        <v>153</v>
      </c>
      <c r="E62" s="32">
        <f t="shared" si="6"/>
        <v>5737.5</v>
      </c>
    </row>
    <row r="63" spans="1:5" x14ac:dyDescent="0.35">
      <c r="A63" s="6" t="s">
        <v>67</v>
      </c>
      <c r="B63" s="11" t="s">
        <v>17</v>
      </c>
      <c r="C63" s="20">
        <v>38.5</v>
      </c>
      <c r="D63" s="12">
        <v>101</v>
      </c>
      <c r="E63" s="32">
        <f t="shared" si="6"/>
        <v>3888.5</v>
      </c>
    </row>
    <row r="64" spans="1:5" x14ac:dyDescent="0.35">
      <c r="A64" s="6" t="s">
        <v>68</v>
      </c>
      <c r="B64" s="11" t="s">
        <v>28</v>
      </c>
      <c r="C64" s="20">
        <v>41.6</v>
      </c>
      <c r="D64" s="12">
        <v>17</v>
      </c>
      <c r="E64" s="32">
        <f t="shared" si="6"/>
        <v>707.2</v>
      </c>
    </row>
    <row r="65" spans="1:5" x14ac:dyDescent="0.35">
      <c r="A65" s="8"/>
      <c r="B65" s="16"/>
      <c r="C65" s="8"/>
      <c r="D65" s="17"/>
      <c r="E65" s="34"/>
    </row>
    <row r="66" spans="1:5" x14ac:dyDescent="0.35">
      <c r="A66" s="22" t="s">
        <v>69</v>
      </c>
      <c r="B66" s="81" t="s">
        <v>70</v>
      </c>
      <c r="C66" s="82"/>
      <c r="D66" s="82"/>
      <c r="E66" s="83"/>
    </row>
    <row r="67" spans="1:5" x14ac:dyDescent="0.35">
      <c r="A67" s="84" t="s">
        <v>56</v>
      </c>
      <c r="B67" s="84"/>
      <c r="C67" s="84"/>
      <c r="D67" s="84"/>
      <c r="E67" s="84"/>
    </row>
    <row r="68" spans="1:5" ht="16.149999999999999" customHeight="1" x14ac:dyDescent="0.35">
      <c r="A68" s="6" t="s">
        <v>71</v>
      </c>
      <c r="B68" s="11" t="s">
        <v>11</v>
      </c>
      <c r="C68" s="20">
        <v>41.6</v>
      </c>
      <c r="D68" s="12">
        <v>1</v>
      </c>
      <c r="E68" s="32">
        <f>C68*D68</f>
        <v>41.6</v>
      </c>
    </row>
    <row r="69" spans="1:5" ht="28.5" customHeight="1" x14ac:dyDescent="0.35">
      <c r="A69" s="6" t="s">
        <v>72</v>
      </c>
      <c r="B69" s="11" t="s">
        <v>13</v>
      </c>
      <c r="C69" s="20">
        <v>42.7</v>
      </c>
      <c r="D69" s="12">
        <v>2</v>
      </c>
      <c r="E69" s="32">
        <f t="shared" ref="E69:E73" si="7">C69*D69</f>
        <v>85.4</v>
      </c>
    </row>
    <row r="70" spans="1:5" x14ac:dyDescent="0.35">
      <c r="A70" s="6" t="s">
        <v>73</v>
      </c>
      <c r="B70" s="11" t="s">
        <v>15</v>
      </c>
      <c r="C70" s="20">
        <v>43.7</v>
      </c>
      <c r="D70" s="12">
        <v>2</v>
      </c>
      <c r="E70" s="32">
        <f t="shared" si="7"/>
        <v>87.4</v>
      </c>
    </row>
    <row r="71" spans="1:5" x14ac:dyDescent="0.35">
      <c r="A71" s="6" t="s">
        <v>74</v>
      </c>
      <c r="B71" s="11" t="s">
        <v>17</v>
      </c>
      <c r="C71" s="20">
        <v>52</v>
      </c>
      <c r="D71" s="12">
        <v>6</v>
      </c>
      <c r="E71" s="32">
        <f t="shared" si="7"/>
        <v>312</v>
      </c>
    </row>
    <row r="72" spans="1:5" x14ac:dyDescent="0.35">
      <c r="A72" s="6" t="s">
        <v>75</v>
      </c>
      <c r="B72" s="11" t="s">
        <v>19</v>
      </c>
      <c r="C72" s="20">
        <v>57.2</v>
      </c>
      <c r="D72" s="12">
        <v>4</v>
      </c>
      <c r="E72" s="32">
        <f t="shared" si="7"/>
        <v>228.8</v>
      </c>
    </row>
    <row r="73" spans="1:5" x14ac:dyDescent="0.35">
      <c r="A73" s="6" t="s">
        <v>76</v>
      </c>
      <c r="B73" s="11" t="s">
        <v>21</v>
      </c>
      <c r="C73" s="20">
        <v>62.4</v>
      </c>
      <c r="D73" s="12">
        <v>1</v>
      </c>
      <c r="E73" s="32">
        <f t="shared" si="7"/>
        <v>62.4</v>
      </c>
    </row>
    <row r="74" spans="1:5" x14ac:dyDescent="0.35">
      <c r="A74" s="84" t="s">
        <v>63</v>
      </c>
      <c r="B74" s="84"/>
      <c r="C74" s="84"/>
      <c r="D74" s="84"/>
      <c r="E74" s="84"/>
    </row>
    <row r="75" spans="1:5" x14ac:dyDescent="0.35">
      <c r="A75" s="6" t="s">
        <v>77</v>
      </c>
      <c r="B75" s="11" t="s">
        <v>11</v>
      </c>
      <c r="C75" s="20">
        <v>36.4</v>
      </c>
      <c r="D75" s="12">
        <v>2</v>
      </c>
      <c r="E75" s="32">
        <f>C75*D75</f>
        <v>72.8</v>
      </c>
    </row>
    <row r="76" spans="1:5" x14ac:dyDescent="0.35">
      <c r="A76" s="6" t="s">
        <v>78</v>
      </c>
      <c r="B76" s="11" t="s">
        <v>13</v>
      </c>
      <c r="C76" s="20">
        <v>37.5</v>
      </c>
      <c r="D76" s="12">
        <v>4</v>
      </c>
      <c r="E76" s="32">
        <f t="shared" ref="E76:E79" si="8">C76*D76</f>
        <v>150</v>
      </c>
    </row>
    <row r="77" spans="1:5" x14ac:dyDescent="0.35">
      <c r="A77" s="6" t="s">
        <v>79</v>
      </c>
      <c r="B77" s="11" t="s">
        <v>15</v>
      </c>
      <c r="C77" s="20">
        <v>38.5</v>
      </c>
      <c r="D77" s="12">
        <v>6</v>
      </c>
      <c r="E77" s="32">
        <f t="shared" si="8"/>
        <v>231</v>
      </c>
    </row>
    <row r="78" spans="1:5" x14ac:dyDescent="0.35">
      <c r="A78" s="6" t="s">
        <v>80</v>
      </c>
      <c r="B78" s="11" t="s">
        <v>17</v>
      </c>
      <c r="C78" s="20">
        <v>41.6</v>
      </c>
      <c r="D78" s="12">
        <v>6</v>
      </c>
      <c r="E78" s="32">
        <f t="shared" si="8"/>
        <v>249.60000000000002</v>
      </c>
    </row>
    <row r="79" spans="1:5" x14ac:dyDescent="0.35">
      <c r="A79" s="6" t="s">
        <v>81</v>
      </c>
      <c r="B79" s="11" t="s">
        <v>28</v>
      </c>
      <c r="C79" s="20">
        <v>46.8</v>
      </c>
      <c r="D79" s="12">
        <v>3</v>
      </c>
      <c r="E79" s="32">
        <f t="shared" si="8"/>
        <v>140.39999999999998</v>
      </c>
    </row>
    <row r="80" spans="1:5" x14ac:dyDescent="0.35">
      <c r="A80" s="8"/>
      <c r="B80" s="16"/>
      <c r="C80" s="8"/>
      <c r="D80" s="17"/>
      <c r="E80" s="34"/>
    </row>
    <row r="81" spans="1:5" x14ac:dyDescent="0.35">
      <c r="A81" s="6" t="s">
        <v>82</v>
      </c>
      <c r="B81" s="85" t="s">
        <v>83</v>
      </c>
      <c r="C81" s="85"/>
      <c r="D81" s="85"/>
      <c r="E81" s="85"/>
    </row>
    <row r="82" spans="1:5" x14ac:dyDescent="0.35">
      <c r="A82" s="73" t="s">
        <v>56</v>
      </c>
      <c r="B82" s="73"/>
      <c r="C82" s="73"/>
      <c r="D82" s="73"/>
      <c r="E82" s="73"/>
    </row>
    <row r="83" spans="1:5" ht="15.65" customHeight="1" x14ac:dyDescent="0.35">
      <c r="A83" s="6" t="s">
        <v>84</v>
      </c>
      <c r="B83" s="11" t="s">
        <v>11</v>
      </c>
      <c r="C83" s="20">
        <v>31.2</v>
      </c>
      <c r="D83" s="12">
        <v>1</v>
      </c>
      <c r="E83" s="32">
        <f>C83*D83</f>
        <v>31.2</v>
      </c>
    </row>
    <row r="84" spans="1:5" ht="28.5" customHeight="1" x14ac:dyDescent="0.35">
      <c r="A84" s="6" t="s">
        <v>85</v>
      </c>
      <c r="B84" s="11" t="s">
        <v>13</v>
      </c>
      <c r="C84" s="20">
        <v>32.300000000000004</v>
      </c>
      <c r="D84" s="12">
        <v>2</v>
      </c>
      <c r="E84" s="32">
        <f t="shared" ref="E84:E88" si="9">C84*D84</f>
        <v>64.600000000000009</v>
      </c>
    </row>
    <row r="85" spans="1:5" x14ac:dyDescent="0.35">
      <c r="A85" s="6" t="s">
        <v>86</v>
      </c>
      <c r="B85" s="11" t="s">
        <v>15</v>
      </c>
      <c r="C85" s="20">
        <v>33.300000000000004</v>
      </c>
      <c r="D85" s="12">
        <v>4</v>
      </c>
      <c r="E85" s="32">
        <f t="shared" si="9"/>
        <v>133.20000000000002</v>
      </c>
    </row>
    <row r="86" spans="1:5" x14ac:dyDescent="0.35">
      <c r="A86" s="6" t="s">
        <v>87</v>
      </c>
      <c r="B86" s="11" t="s">
        <v>17</v>
      </c>
      <c r="C86" s="20">
        <v>34.4</v>
      </c>
      <c r="D86" s="12">
        <v>8</v>
      </c>
      <c r="E86" s="32">
        <f t="shared" si="9"/>
        <v>275.2</v>
      </c>
    </row>
    <row r="87" spans="1:5" x14ac:dyDescent="0.35">
      <c r="A87" s="6" t="s">
        <v>88</v>
      </c>
      <c r="B87" s="11" t="s">
        <v>19</v>
      </c>
      <c r="C87" s="20">
        <v>35.4</v>
      </c>
      <c r="D87" s="12">
        <v>4</v>
      </c>
      <c r="E87" s="32">
        <f t="shared" si="9"/>
        <v>141.6</v>
      </c>
    </row>
    <row r="88" spans="1:5" x14ac:dyDescent="0.35">
      <c r="A88" s="6" t="s">
        <v>89</v>
      </c>
      <c r="B88" s="11" t="s">
        <v>21</v>
      </c>
      <c r="C88" s="20">
        <v>36.4</v>
      </c>
      <c r="D88" s="12">
        <v>2</v>
      </c>
      <c r="E88" s="32">
        <f t="shared" si="9"/>
        <v>72.8</v>
      </c>
    </row>
    <row r="89" spans="1:5" x14ac:dyDescent="0.35">
      <c r="A89" s="73" t="s">
        <v>63</v>
      </c>
      <c r="B89" s="73"/>
      <c r="C89" s="73"/>
      <c r="D89" s="73"/>
      <c r="E89" s="73"/>
    </row>
    <row r="90" spans="1:5" x14ac:dyDescent="0.35">
      <c r="A90" s="6" t="s">
        <v>90</v>
      </c>
      <c r="B90" s="11" t="s">
        <v>11</v>
      </c>
      <c r="C90" s="20">
        <v>26</v>
      </c>
      <c r="D90" s="12">
        <v>13</v>
      </c>
      <c r="E90" s="32">
        <f>C90*D90</f>
        <v>338</v>
      </c>
    </row>
    <row r="91" spans="1:5" x14ac:dyDescent="0.35">
      <c r="A91" s="6" t="s">
        <v>91</v>
      </c>
      <c r="B91" s="11" t="s">
        <v>13</v>
      </c>
      <c r="C91" s="20">
        <v>27.1</v>
      </c>
      <c r="D91" s="12">
        <v>55</v>
      </c>
      <c r="E91" s="32">
        <f>C91*D91</f>
        <v>1490.5</v>
      </c>
    </row>
    <row r="92" spans="1:5" x14ac:dyDescent="0.35">
      <c r="A92" s="6" t="s">
        <v>92</v>
      </c>
      <c r="B92" s="11" t="s">
        <v>15</v>
      </c>
      <c r="C92" s="20">
        <v>28.1</v>
      </c>
      <c r="D92" s="12">
        <v>153</v>
      </c>
      <c r="E92" s="32">
        <f>C92*D92</f>
        <v>4299.3</v>
      </c>
    </row>
    <row r="93" spans="1:5" x14ac:dyDescent="0.35">
      <c r="A93" s="6" t="s">
        <v>93</v>
      </c>
      <c r="B93" s="11" t="s">
        <v>17</v>
      </c>
      <c r="C93" s="20">
        <v>29.200000000000003</v>
      </c>
      <c r="D93" s="12">
        <v>101</v>
      </c>
      <c r="E93" s="32">
        <f>C93*D93</f>
        <v>2949.2000000000003</v>
      </c>
    </row>
    <row r="94" spans="1:5" x14ac:dyDescent="0.35">
      <c r="A94" s="6" t="s">
        <v>94</v>
      </c>
      <c r="B94" s="11" t="s">
        <v>28</v>
      </c>
      <c r="C94" s="20">
        <v>30.200000000000003</v>
      </c>
      <c r="D94" s="12">
        <v>17</v>
      </c>
      <c r="E94" s="32">
        <f>C94*D94</f>
        <v>513.40000000000009</v>
      </c>
    </row>
    <row r="95" spans="1:5" x14ac:dyDescent="0.35">
      <c r="A95" s="9"/>
      <c r="B95" s="16"/>
      <c r="C95" s="8"/>
      <c r="D95" s="17"/>
      <c r="E95" s="34"/>
    </row>
    <row r="96" spans="1:5" x14ac:dyDescent="0.35">
      <c r="A96" s="6" t="s">
        <v>95</v>
      </c>
      <c r="B96" s="89" t="s">
        <v>96</v>
      </c>
      <c r="C96" s="89"/>
      <c r="D96" s="89"/>
      <c r="E96" s="89"/>
    </row>
    <row r="97" spans="1:5" x14ac:dyDescent="0.35">
      <c r="A97" s="90" t="s">
        <v>56</v>
      </c>
      <c r="B97" s="90"/>
      <c r="C97" s="90"/>
      <c r="D97" s="90"/>
      <c r="E97" s="90"/>
    </row>
    <row r="98" spans="1:5" ht="13.15" customHeight="1" x14ac:dyDescent="0.35">
      <c r="A98" s="6" t="s">
        <v>97</v>
      </c>
      <c r="B98" s="11" t="s">
        <v>11</v>
      </c>
      <c r="C98" s="20">
        <v>36.4</v>
      </c>
      <c r="D98" s="12">
        <v>1</v>
      </c>
      <c r="E98" s="32">
        <f t="shared" ref="E98:E103" si="10">C98*D98</f>
        <v>36.4</v>
      </c>
    </row>
    <row r="99" spans="1:5" ht="28.5" customHeight="1" x14ac:dyDescent="0.35">
      <c r="A99" s="6" t="s">
        <v>98</v>
      </c>
      <c r="B99" s="11" t="s">
        <v>13</v>
      </c>
      <c r="C99" s="20">
        <v>37.5</v>
      </c>
      <c r="D99" s="12">
        <v>2</v>
      </c>
      <c r="E99" s="32">
        <f t="shared" si="10"/>
        <v>75</v>
      </c>
    </row>
    <row r="100" spans="1:5" x14ac:dyDescent="0.35">
      <c r="A100" s="6" t="s">
        <v>99</v>
      </c>
      <c r="B100" s="11" t="s">
        <v>15</v>
      </c>
      <c r="C100" s="20">
        <v>38.5</v>
      </c>
      <c r="D100" s="12">
        <v>2</v>
      </c>
      <c r="E100" s="32">
        <f t="shared" si="10"/>
        <v>77</v>
      </c>
    </row>
    <row r="101" spans="1:5" ht="22.15" customHeight="1" x14ac:dyDescent="0.35">
      <c r="A101" s="6" t="s">
        <v>100</v>
      </c>
      <c r="B101" s="11" t="s">
        <v>17</v>
      </c>
      <c r="C101" s="20">
        <v>39.6</v>
      </c>
      <c r="D101" s="12">
        <v>6</v>
      </c>
      <c r="E101" s="32">
        <f t="shared" si="10"/>
        <v>237.60000000000002</v>
      </c>
    </row>
    <row r="102" spans="1:5" ht="28.5" customHeight="1" x14ac:dyDescent="0.35">
      <c r="A102" s="6" t="s">
        <v>101</v>
      </c>
      <c r="B102" s="11" t="s">
        <v>19</v>
      </c>
      <c r="C102" s="20">
        <v>40.6</v>
      </c>
      <c r="D102" s="12">
        <v>4</v>
      </c>
      <c r="E102" s="32">
        <f t="shared" si="10"/>
        <v>162.4</v>
      </c>
    </row>
    <row r="103" spans="1:5" x14ac:dyDescent="0.35">
      <c r="A103" s="6" t="s">
        <v>102</v>
      </c>
      <c r="B103" s="11" t="s">
        <v>21</v>
      </c>
      <c r="C103" s="20">
        <v>41.6</v>
      </c>
      <c r="D103" s="12">
        <v>1</v>
      </c>
      <c r="E103" s="32">
        <f t="shared" si="10"/>
        <v>41.6</v>
      </c>
    </row>
    <row r="104" spans="1:5" x14ac:dyDescent="0.35">
      <c r="A104" s="90" t="s">
        <v>63</v>
      </c>
      <c r="B104" s="90"/>
      <c r="C104" s="90"/>
      <c r="D104" s="90"/>
      <c r="E104" s="90"/>
    </row>
    <row r="105" spans="1:5" x14ac:dyDescent="0.35">
      <c r="A105" s="6" t="s">
        <v>103</v>
      </c>
      <c r="B105" s="11" t="s">
        <v>11</v>
      </c>
      <c r="C105" s="20">
        <v>29.200000000000003</v>
      </c>
      <c r="D105" s="12">
        <v>2</v>
      </c>
      <c r="E105" s="32">
        <f>C105*D105</f>
        <v>58.400000000000006</v>
      </c>
    </row>
    <row r="106" spans="1:5" x14ac:dyDescent="0.35">
      <c r="A106" s="6" t="s">
        <v>104</v>
      </c>
      <c r="B106" s="11" t="s">
        <v>13</v>
      </c>
      <c r="C106" s="20">
        <v>30.200000000000003</v>
      </c>
      <c r="D106" s="12">
        <v>4</v>
      </c>
      <c r="E106" s="32">
        <f>C106*D106</f>
        <v>120.80000000000001</v>
      </c>
    </row>
    <row r="107" spans="1:5" x14ac:dyDescent="0.35">
      <c r="A107" s="6" t="s">
        <v>105</v>
      </c>
      <c r="B107" s="11" t="s">
        <v>15</v>
      </c>
      <c r="C107" s="20">
        <v>31.2</v>
      </c>
      <c r="D107" s="12">
        <v>6</v>
      </c>
      <c r="E107" s="32">
        <f>C107*D107</f>
        <v>187.2</v>
      </c>
    </row>
    <row r="108" spans="1:5" x14ac:dyDescent="0.35">
      <c r="A108" s="6" t="s">
        <v>106</v>
      </c>
      <c r="B108" s="11" t="s">
        <v>17</v>
      </c>
      <c r="C108" s="20">
        <v>32.300000000000004</v>
      </c>
      <c r="D108" s="12">
        <v>6</v>
      </c>
      <c r="E108" s="32">
        <f>C108*D108</f>
        <v>193.8</v>
      </c>
    </row>
    <row r="109" spans="1:5" x14ac:dyDescent="0.35">
      <c r="A109" s="6" t="s">
        <v>107</v>
      </c>
      <c r="B109" s="11" t="s">
        <v>28</v>
      </c>
      <c r="C109" s="20">
        <v>33.300000000000004</v>
      </c>
      <c r="D109" s="12">
        <v>3</v>
      </c>
      <c r="E109" s="32">
        <f>C109*D109</f>
        <v>99.9</v>
      </c>
    </row>
    <row r="110" spans="1:5" x14ac:dyDescent="0.35">
      <c r="A110" s="9"/>
      <c r="B110" s="16"/>
      <c r="C110" s="8"/>
      <c r="D110" s="17"/>
      <c r="E110" s="32"/>
    </row>
    <row r="111" spans="1:5" x14ac:dyDescent="0.35">
      <c r="A111" s="6" t="s">
        <v>108</v>
      </c>
      <c r="B111" s="91" t="s">
        <v>109</v>
      </c>
      <c r="C111" s="91"/>
      <c r="D111" s="91"/>
      <c r="E111" s="91"/>
    </row>
    <row r="112" spans="1:5" x14ac:dyDescent="0.35">
      <c r="A112" s="6" t="s">
        <v>110</v>
      </c>
      <c r="B112" s="18" t="s">
        <v>111</v>
      </c>
      <c r="C112" s="20">
        <v>12.4</v>
      </c>
      <c r="D112" s="12">
        <v>360</v>
      </c>
      <c r="E112" s="32">
        <f>C112*D112</f>
        <v>4464</v>
      </c>
    </row>
    <row r="113" spans="1:5" x14ac:dyDescent="0.35">
      <c r="A113" s="9"/>
      <c r="B113" s="16"/>
      <c r="C113" s="8"/>
      <c r="D113" s="17"/>
      <c r="E113" s="34"/>
    </row>
    <row r="114" spans="1:5" ht="19.899999999999999" customHeight="1" x14ac:dyDescent="0.35">
      <c r="A114" s="6" t="s">
        <v>112</v>
      </c>
      <c r="B114" s="92" t="s">
        <v>113</v>
      </c>
      <c r="C114" s="92"/>
      <c r="D114" s="92"/>
      <c r="E114" s="92"/>
    </row>
    <row r="115" spans="1:5" ht="28.5" customHeight="1" x14ac:dyDescent="0.35">
      <c r="A115" s="93" t="s">
        <v>114</v>
      </c>
      <c r="B115" s="93"/>
      <c r="C115" s="93"/>
      <c r="D115" s="93"/>
      <c r="E115" s="93"/>
    </row>
    <row r="116" spans="1:5" x14ac:dyDescent="0.35">
      <c r="A116" s="6" t="s">
        <v>115</v>
      </c>
      <c r="B116" s="11" t="s">
        <v>11</v>
      </c>
      <c r="C116" s="20">
        <v>36.4</v>
      </c>
      <c r="D116" s="12">
        <v>2</v>
      </c>
      <c r="E116" s="32">
        <f t="shared" ref="E116:E121" si="11">C116*D116</f>
        <v>72.8</v>
      </c>
    </row>
    <row r="117" spans="1:5" x14ac:dyDescent="0.35">
      <c r="A117" s="6" t="s">
        <v>116</v>
      </c>
      <c r="B117" s="11" t="s">
        <v>13</v>
      </c>
      <c r="C117" s="20">
        <v>37.5</v>
      </c>
      <c r="D117" s="12">
        <v>5</v>
      </c>
      <c r="E117" s="32">
        <f t="shared" si="11"/>
        <v>187.5</v>
      </c>
    </row>
    <row r="118" spans="1:5" x14ac:dyDescent="0.35">
      <c r="A118" s="6" t="s">
        <v>117</v>
      </c>
      <c r="B118" s="11" t="s">
        <v>15</v>
      </c>
      <c r="C118" s="20">
        <v>38.5</v>
      </c>
      <c r="D118" s="12">
        <v>6</v>
      </c>
      <c r="E118" s="32">
        <f t="shared" si="11"/>
        <v>231</v>
      </c>
    </row>
    <row r="119" spans="1:5" x14ac:dyDescent="0.35">
      <c r="A119" s="6" t="s">
        <v>118</v>
      </c>
      <c r="B119" s="11" t="s">
        <v>17</v>
      </c>
      <c r="C119" s="20">
        <v>46.8</v>
      </c>
      <c r="D119" s="12">
        <v>6</v>
      </c>
      <c r="E119" s="32">
        <f t="shared" si="11"/>
        <v>280.79999999999995</v>
      </c>
    </row>
    <row r="120" spans="1:5" x14ac:dyDescent="0.35">
      <c r="A120" s="6" t="s">
        <v>119</v>
      </c>
      <c r="B120" s="11" t="s">
        <v>19</v>
      </c>
      <c r="C120" s="20">
        <v>47.9</v>
      </c>
      <c r="D120" s="12">
        <v>6</v>
      </c>
      <c r="E120" s="32">
        <f t="shared" si="11"/>
        <v>287.39999999999998</v>
      </c>
    </row>
    <row r="121" spans="1:5" x14ac:dyDescent="0.35">
      <c r="A121" s="6" t="s">
        <v>120</v>
      </c>
      <c r="B121" s="11" t="s">
        <v>21</v>
      </c>
      <c r="C121" s="20">
        <v>48.9</v>
      </c>
      <c r="D121" s="12">
        <v>5</v>
      </c>
      <c r="E121" s="32">
        <f t="shared" si="11"/>
        <v>244.5</v>
      </c>
    </row>
    <row r="122" spans="1:5" x14ac:dyDescent="0.35">
      <c r="A122" s="93" t="s">
        <v>121</v>
      </c>
      <c r="B122" s="93"/>
      <c r="C122" s="93"/>
      <c r="D122" s="93"/>
      <c r="E122" s="93"/>
    </row>
    <row r="123" spans="1:5" x14ac:dyDescent="0.35">
      <c r="A123" s="6" t="s">
        <v>122</v>
      </c>
      <c r="B123" s="11" t="s">
        <v>123</v>
      </c>
      <c r="C123" s="20">
        <v>67.599999999999994</v>
      </c>
      <c r="D123" s="12">
        <v>4</v>
      </c>
      <c r="E123" s="32">
        <f>C123*D123</f>
        <v>270.39999999999998</v>
      </c>
    </row>
    <row r="124" spans="1:5" x14ac:dyDescent="0.35">
      <c r="A124" s="6" t="s">
        <v>124</v>
      </c>
      <c r="B124" s="11" t="s">
        <v>125</v>
      </c>
      <c r="C124" s="20">
        <v>135.19999999999999</v>
      </c>
      <c r="D124" s="12">
        <v>3</v>
      </c>
      <c r="E124" s="32">
        <f>C124*D124</f>
        <v>405.59999999999997</v>
      </c>
    </row>
    <row r="125" spans="1:5" x14ac:dyDescent="0.35">
      <c r="A125" s="6" t="s">
        <v>126</v>
      </c>
      <c r="B125" s="11" t="s">
        <v>127</v>
      </c>
      <c r="C125" s="20">
        <v>208</v>
      </c>
      <c r="D125" s="12">
        <v>1</v>
      </c>
      <c r="E125" s="32">
        <f>C125*D125</f>
        <v>208</v>
      </c>
    </row>
    <row r="126" spans="1:5" ht="8.5" customHeight="1" x14ac:dyDescent="0.35">
      <c r="A126" s="9"/>
      <c r="B126" s="9"/>
      <c r="C126" s="9"/>
      <c r="D126" s="19"/>
      <c r="E126" s="35"/>
    </row>
    <row r="127" spans="1:5" ht="28.5" customHeight="1" x14ac:dyDescent="0.35">
      <c r="A127" s="6" t="s">
        <v>128</v>
      </c>
      <c r="B127" s="94" t="s">
        <v>402</v>
      </c>
      <c r="C127" s="95"/>
      <c r="D127" s="95"/>
      <c r="E127" s="96"/>
    </row>
    <row r="128" spans="1:5" ht="13.9" customHeight="1" x14ac:dyDescent="0.35">
      <c r="A128" s="97" t="s">
        <v>403</v>
      </c>
      <c r="B128" s="98"/>
      <c r="C128" s="98"/>
      <c r="D128" s="98"/>
      <c r="E128" s="99"/>
    </row>
    <row r="129" spans="1:5" x14ac:dyDescent="0.35">
      <c r="A129" s="6" t="s">
        <v>129</v>
      </c>
      <c r="B129" s="11" t="s">
        <v>130</v>
      </c>
      <c r="C129" s="20">
        <v>988</v>
      </c>
      <c r="D129" s="12">
        <v>2</v>
      </c>
      <c r="E129" s="32">
        <f>C129*D129</f>
        <v>1976</v>
      </c>
    </row>
    <row r="130" spans="1:5" x14ac:dyDescent="0.35">
      <c r="A130" s="6" t="s">
        <v>131</v>
      </c>
      <c r="B130" s="11" t="s">
        <v>132</v>
      </c>
      <c r="C130" s="20">
        <v>1560</v>
      </c>
      <c r="D130" s="12">
        <v>3</v>
      </c>
      <c r="E130" s="32">
        <f>C130*D130</f>
        <v>4680</v>
      </c>
    </row>
    <row r="131" spans="1:5" x14ac:dyDescent="0.35">
      <c r="A131" s="6" t="s">
        <v>133</v>
      </c>
      <c r="B131" s="11" t="s">
        <v>134</v>
      </c>
      <c r="C131" s="20">
        <v>2340</v>
      </c>
      <c r="D131" s="12">
        <v>5</v>
      </c>
      <c r="E131" s="32">
        <f>C131*D131</f>
        <v>11700</v>
      </c>
    </row>
    <row r="132" spans="1:5" x14ac:dyDescent="0.35">
      <c r="A132" s="6" t="s">
        <v>135</v>
      </c>
      <c r="B132" s="11" t="s">
        <v>136</v>
      </c>
      <c r="C132" s="20">
        <v>2548</v>
      </c>
      <c r="D132" s="12">
        <v>2</v>
      </c>
      <c r="E132" s="32">
        <f>C132*D132</f>
        <v>5096</v>
      </c>
    </row>
    <row r="133" spans="1:5" ht="13.9" customHeight="1" x14ac:dyDescent="0.35">
      <c r="A133" s="97" t="s">
        <v>404</v>
      </c>
      <c r="B133" s="98"/>
      <c r="C133" s="98"/>
      <c r="D133" s="98"/>
      <c r="E133" s="99"/>
    </row>
    <row r="134" spans="1:5" x14ac:dyDescent="0.35">
      <c r="A134" s="6" t="s">
        <v>138</v>
      </c>
      <c r="B134" s="11" t="s">
        <v>130</v>
      </c>
      <c r="C134" s="20">
        <v>676</v>
      </c>
      <c r="D134" s="12">
        <v>1</v>
      </c>
      <c r="E134" s="32">
        <f>C134*D134</f>
        <v>676</v>
      </c>
    </row>
    <row r="135" spans="1:5" x14ac:dyDescent="0.35">
      <c r="A135" s="6" t="s">
        <v>139</v>
      </c>
      <c r="B135" s="11" t="s">
        <v>132</v>
      </c>
      <c r="C135" s="20">
        <v>1352</v>
      </c>
      <c r="D135" s="12">
        <v>1</v>
      </c>
      <c r="E135" s="32">
        <f>C135*D135</f>
        <v>1352</v>
      </c>
    </row>
    <row r="136" spans="1:5" x14ac:dyDescent="0.35">
      <c r="A136" s="6" t="s">
        <v>141</v>
      </c>
      <c r="B136" s="11" t="s">
        <v>134</v>
      </c>
      <c r="C136" s="20">
        <v>1976</v>
      </c>
      <c r="D136" s="12">
        <v>1</v>
      </c>
      <c r="E136" s="32">
        <f>C136*D136</f>
        <v>1976</v>
      </c>
    </row>
    <row r="137" spans="1:5" x14ac:dyDescent="0.35">
      <c r="A137" s="6" t="s">
        <v>143</v>
      </c>
      <c r="B137" s="11" t="s">
        <v>136</v>
      </c>
      <c r="C137" s="20">
        <v>2184</v>
      </c>
      <c r="D137" s="12">
        <v>1</v>
      </c>
      <c r="E137" s="32">
        <f>C137*D137</f>
        <v>2184</v>
      </c>
    </row>
    <row r="138" spans="1:5" x14ac:dyDescent="0.35">
      <c r="A138" s="9"/>
      <c r="B138" s="16"/>
      <c r="C138" s="8"/>
      <c r="D138" s="17"/>
      <c r="E138" s="34"/>
    </row>
    <row r="139" spans="1:5" ht="28.5" customHeight="1" x14ac:dyDescent="0.35">
      <c r="A139" s="6" t="s">
        <v>145</v>
      </c>
      <c r="B139" s="86" t="s">
        <v>146</v>
      </c>
      <c r="C139" s="87"/>
      <c r="D139" s="87"/>
      <c r="E139" s="88"/>
    </row>
    <row r="140" spans="1:5" ht="15" customHeight="1" x14ac:dyDescent="0.35">
      <c r="A140" s="103" t="s">
        <v>147</v>
      </c>
      <c r="B140" s="103"/>
      <c r="C140" s="103"/>
      <c r="D140" s="103"/>
      <c r="E140" s="103"/>
    </row>
    <row r="141" spans="1:5" x14ac:dyDescent="0.35">
      <c r="A141" s="6" t="s">
        <v>148</v>
      </c>
      <c r="B141" s="11" t="s">
        <v>149</v>
      </c>
      <c r="C141" s="20">
        <v>124.8</v>
      </c>
      <c r="D141" s="12">
        <v>1</v>
      </c>
      <c r="E141" s="32">
        <f>C141*D141</f>
        <v>124.8</v>
      </c>
    </row>
    <row r="142" spans="1:5" x14ac:dyDescent="0.35">
      <c r="A142" s="6" t="s">
        <v>150</v>
      </c>
      <c r="B142" s="11" t="s">
        <v>33</v>
      </c>
      <c r="C142" s="20">
        <v>135.19999999999999</v>
      </c>
      <c r="D142" s="12">
        <v>1</v>
      </c>
      <c r="E142" s="32">
        <f>C142*D142</f>
        <v>135.19999999999999</v>
      </c>
    </row>
    <row r="143" spans="1:5" x14ac:dyDescent="0.35">
      <c r="A143" s="6" t="s">
        <v>151</v>
      </c>
      <c r="B143" s="11" t="s">
        <v>35</v>
      </c>
      <c r="C143" s="20">
        <v>145.6</v>
      </c>
      <c r="D143" s="12">
        <v>1</v>
      </c>
      <c r="E143" s="32">
        <f>C143*D143</f>
        <v>145.6</v>
      </c>
    </row>
    <row r="144" spans="1:5" x14ac:dyDescent="0.35">
      <c r="A144" s="6" t="s">
        <v>152</v>
      </c>
      <c r="B144" s="11" t="s">
        <v>153</v>
      </c>
      <c r="C144" s="20">
        <v>197.6</v>
      </c>
      <c r="D144" s="12">
        <v>1</v>
      </c>
      <c r="E144" s="32">
        <f>C144*D144</f>
        <v>197.6</v>
      </c>
    </row>
    <row r="145" spans="1:5" x14ac:dyDescent="0.35">
      <c r="A145" s="103" t="s">
        <v>137</v>
      </c>
      <c r="B145" s="103"/>
      <c r="C145" s="103"/>
      <c r="D145" s="103"/>
      <c r="E145" s="103"/>
    </row>
    <row r="146" spans="1:5" x14ac:dyDescent="0.35">
      <c r="A146" s="6" t="s">
        <v>154</v>
      </c>
      <c r="B146" s="11" t="s">
        <v>123</v>
      </c>
      <c r="C146" s="20">
        <v>124.8</v>
      </c>
      <c r="D146" s="12">
        <v>1</v>
      </c>
      <c r="E146" s="32">
        <f>C146*D146</f>
        <v>124.8</v>
      </c>
    </row>
    <row r="147" spans="1:5" ht="30.75" customHeight="1" x14ac:dyDescent="0.35">
      <c r="A147" s="6" t="s">
        <v>155</v>
      </c>
      <c r="B147" s="11" t="s">
        <v>140</v>
      </c>
      <c r="C147" s="20">
        <v>135.19999999999999</v>
      </c>
      <c r="D147" s="12">
        <v>1</v>
      </c>
      <c r="E147" s="32">
        <f>C147*D147</f>
        <v>135.19999999999999</v>
      </c>
    </row>
    <row r="148" spans="1:5" x14ac:dyDescent="0.35">
      <c r="A148" s="6" t="s">
        <v>156</v>
      </c>
      <c r="B148" s="11" t="s">
        <v>142</v>
      </c>
      <c r="C148" s="20">
        <v>145.6</v>
      </c>
      <c r="D148" s="12">
        <v>1</v>
      </c>
      <c r="E148" s="32">
        <f>C148*D148</f>
        <v>145.6</v>
      </c>
    </row>
    <row r="149" spans="1:5" x14ac:dyDescent="0.35">
      <c r="A149" s="6" t="s">
        <v>157</v>
      </c>
      <c r="B149" s="11" t="s">
        <v>144</v>
      </c>
      <c r="C149" s="20">
        <v>197.6</v>
      </c>
      <c r="D149" s="12">
        <v>1</v>
      </c>
      <c r="E149" s="32">
        <f>C149*D149</f>
        <v>197.6</v>
      </c>
    </row>
    <row r="150" spans="1:5" x14ac:dyDescent="0.35">
      <c r="A150" s="9"/>
      <c r="B150" s="16"/>
      <c r="C150" s="8"/>
      <c r="D150" s="17"/>
      <c r="E150" s="34"/>
    </row>
    <row r="151" spans="1:5" x14ac:dyDescent="0.35">
      <c r="A151" s="104" t="s">
        <v>158</v>
      </c>
      <c r="B151" s="106" t="s">
        <v>159</v>
      </c>
      <c r="C151" s="107"/>
      <c r="D151" s="107"/>
      <c r="E151" s="108"/>
    </row>
    <row r="152" spans="1:5" x14ac:dyDescent="0.35">
      <c r="A152" s="105"/>
      <c r="B152" s="109"/>
      <c r="C152" s="110"/>
      <c r="D152" s="110"/>
      <c r="E152" s="111"/>
    </row>
    <row r="153" spans="1:5" x14ac:dyDescent="0.35">
      <c r="A153" s="112" t="s">
        <v>9</v>
      </c>
      <c r="B153" s="112"/>
      <c r="C153" s="112"/>
      <c r="D153" s="112"/>
      <c r="E153" s="112"/>
    </row>
    <row r="154" spans="1:5" x14ac:dyDescent="0.35">
      <c r="A154" s="36" t="s">
        <v>160</v>
      </c>
      <c r="B154" s="27" t="s">
        <v>11</v>
      </c>
      <c r="C154" s="20">
        <v>41.6</v>
      </c>
      <c r="D154" s="12">
        <v>5</v>
      </c>
      <c r="E154" s="32">
        <f t="shared" ref="E154:E159" si="12">C154*D154</f>
        <v>208</v>
      </c>
    </row>
    <row r="155" spans="1:5" x14ac:dyDescent="0.35">
      <c r="A155" s="36" t="s">
        <v>161</v>
      </c>
      <c r="B155" s="11" t="s">
        <v>13</v>
      </c>
      <c r="C155" s="20">
        <v>46.8</v>
      </c>
      <c r="D155" s="12">
        <v>25</v>
      </c>
      <c r="E155" s="32">
        <f t="shared" si="12"/>
        <v>1170</v>
      </c>
    </row>
    <row r="156" spans="1:5" x14ac:dyDescent="0.35">
      <c r="A156" s="36" t="s">
        <v>162</v>
      </c>
      <c r="B156" s="11" t="s">
        <v>15</v>
      </c>
      <c r="C156" s="20">
        <v>52</v>
      </c>
      <c r="D156" s="12">
        <v>40</v>
      </c>
      <c r="E156" s="32">
        <f t="shared" si="12"/>
        <v>2080</v>
      </c>
    </row>
    <row r="157" spans="1:5" x14ac:dyDescent="0.35">
      <c r="A157" s="36" t="s">
        <v>163</v>
      </c>
      <c r="B157" s="11" t="s">
        <v>17</v>
      </c>
      <c r="C157" s="20">
        <v>57.2</v>
      </c>
      <c r="D157" s="12">
        <v>40</v>
      </c>
      <c r="E157" s="32">
        <f t="shared" si="12"/>
        <v>2288</v>
      </c>
    </row>
    <row r="158" spans="1:5" x14ac:dyDescent="0.35">
      <c r="A158" s="36" t="s">
        <v>164</v>
      </c>
      <c r="B158" s="11" t="s">
        <v>19</v>
      </c>
      <c r="C158" s="20">
        <v>62.4</v>
      </c>
      <c r="D158" s="12">
        <v>20</v>
      </c>
      <c r="E158" s="32">
        <f t="shared" si="12"/>
        <v>1248</v>
      </c>
    </row>
    <row r="159" spans="1:5" x14ac:dyDescent="0.35">
      <c r="A159" s="36" t="s">
        <v>165</v>
      </c>
      <c r="B159" s="24" t="s">
        <v>21</v>
      </c>
      <c r="C159" s="20">
        <v>67.599999999999994</v>
      </c>
      <c r="D159" s="12">
        <v>20</v>
      </c>
      <c r="E159" s="32">
        <f t="shared" si="12"/>
        <v>1352</v>
      </c>
    </row>
    <row r="160" spans="1:5" x14ac:dyDescent="0.35">
      <c r="A160" s="113" t="s">
        <v>166</v>
      </c>
      <c r="B160" s="113"/>
      <c r="C160" s="113"/>
      <c r="D160" s="113"/>
      <c r="E160" s="113"/>
    </row>
    <row r="161" spans="1:5" x14ac:dyDescent="0.35">
      <c r="A161" s="36" t="s">
        <v>167</v>
      </c>
      <c r="B161" s="27" t="s">
        <v>11</v>
      </c>
      <c r="C161" s="20">
        <v>34.4</v>
      </c>
      <c r="D161" s="12">
        <v>40</v>
      </c>
      <c r="E161" s="32">
        <f t="shared" ref="E161:E166" si="13">C161*D161</f>
        <v>1376</v>
      </c>
    </row>
    <row r="162" spans="1:5" x14ac:dyDescent="0.35">
      <c r="A162" s="36" t="s">
        <v>168</v>
      </c>
      <c r="B162" s="11" t="s">
        <v>13</v>
      </c>
      <c r="C162" s="20">
        <v>36.4</v>
      </c>
      <c r="D162" s="12">
        <v>100</v>
      </c>
      <c r="E162" s="32">
        <f t="shared" si="13"/>
        <v>3640</v>
      </c>
    </row>
    <row r="163" spans="1:5" x14ac:dyDescent="0.35">
      <c r="A163" s="36" t="s">
        <v>169</v>
      </c>
      <c r="B163" s="11" t="s">
        <v>15</v>
      </c>
      <c r="C163" s="20">
        <v>41.6</v>
      </c>
      <c r="D163" s="12">
        <v>130</v>
      </c>
      <c r="E163" s="32">
        <f t="shared" si="13"/>
        <v>5408</v>
      </c>
    </row>
    <row r="164" spans="1:5" x14ac:dyDescent="0.35">
      <c r="A164" s="36" t="s">
        <v>170</v>
      </c>
      <c r="B164" s="11" t="s">
        <v>17</v>
      </c>
      <c r="C164" s="20">
        <v>46.8</v>
      </c>
      <c r="D164" s="12">
        <v>130</v>
      </c>
      <c r="E164" s="32">
        <f t="shared" si="13"/>
        <v>6084</v>
      </c>
    </row>
    <row r="165" spans="1:5" x14ac:dyDescent="0.35">
      <c r="A165" s="36" t="s">
        <v>171</v>
      </c>
      <c r="B165" s="11" t="s">
        <v>19</v>
      </c>
      <c r="C165" s="20">
        <v>52</v>
      </c>
      <c r="D165" s="12">
        <v>60</v>
      </c>
      <c r="E165" s="32">
        <f t="shared" si="13"/>
        <v>3120</v>
      </c>
    </row>
    <row r="166" spans="1:5" x14ac:dyDescent="0.35">
      <c r="A166" s="36" t="s">
        <v>172</v>
      </c>
      <c r="B166" s="24" t="s">
        <v>21</v>
      </c>
      <c r="C166" s="20">
        <v>55.2</v>
      </c>
      <c r="D166" s="12">
        <v>20</v>
      </c>
      <c r="E166" s="32">
        <f t="shared" si="13"/>
        <v>1104</v>
      </c>
    </row>
    <row r="167" spans="1:5" x14ac:dyDescent="0.35">
      <c r="A167" s="113" t="s">
        <v>173</v>
      </c>
      <c r="B167" s="113"/>
      <c r="C167" s="113"/>
      <c r="D167" s="113"/>
      <c r="E167" s="113"/>
    </row>
    <row r="168" spans="1:5" x14ac:dyDescent="0.3">
      <c r="A168" s="37" t="s">
        <v>174</v>
      </c>
      <c r="B168" s="38" t="s">
        <v>175</v>
      </c>
      <c r="C168" s="20">
        <v>468</v>
      </c>
      <c r="D168" s="25">
        <v>25</v>
      </c>
      <c r="E168" s="40">
        <f>C168*D168</f>
        <v>11700</v>
      </c>
    </row>
    <row r="169" spans="1:5" x14ac:dyDescent="0.3">
      <c r="A169" s="41" t="s">
        <v>176</v>
      </c>
      <c r="B169" s="42" t="s">
        <v>392</v>
      </c>
      <c r="C169" s="20">
        <v>572</v>
      </c>
      <c r="D169" s="44">
        <v>25</v>
      </c>
      <c r="E169" s="40">
        <f>C169*D169</f>
        <v>14300</v>
      </c>
    </row>
    <row r="170" spans="1:5" x14ac:dyDescent="0.3">
      <c r="A170" s="41" t="s">
        <v>395</v>
      </c>
      <c r="B170" s="42" t="s">
        <v>393</v>
      </c>
      <c r="C170" s="20">
        <v>780</v>
      </c>
      <c r="D170" s="44">
        <v>25</v>
      </c>
      <c r="E170" s="40">
        <f>C170*D170</f>
        <v>19500</v>
      </c>
    </row>
    <row r="171" spans="1:5" x14ac:dyDescent="0.3">
      <c r="A171" s="41" t="s">
        <v>396</v>
      </c>
      <c r="B171" s="42" t="s">
        <v>394</v>
      </c>
      <c r="C171" s="20">
        <v>884</v>
      </c>
      <c r="D171" s="44">
        <v>25</v>
      </c>
      <c r="E171" s="40">
        <f>C171*D171</f>
        <v>22100</v>
      </c>
    </row>
    <row r="172" spans="1:5" x14ac:dyDescent="0.35">
      <c r="A172" s="8"/>
      <c r="B172" s="16"/>
      <c r="C172" s="8"/>
      <c r="D172" s="17"/>
      <c r="E172" s="34"/>
    </row>
    <row r="173" spans="1:5" ht="45.65" customHeight="1" x14ac:dyDescent="0.35">
      <c r="A173" s="45" t="s">
        <v>177</v>
      </c>
      <c r="B173" s="114" t="s">
        <v>178</v>
      </c>
      <c r="C173" s="114"/>
      <c r="D173" s="114"/>
      <c r="E173" s="114"/>
    </row>
    <row r="174" spans="1:5" x14ac:dyDescent="0.35">
      <c r="A174" s="115" t="s">
        <v>9</v>
      </c>
      <c r="B174" s="115"/>
      <c r="C174" s="115"/>
      <c r="D174" s="115"/>
      <c r="E174" s="115"/>
    </row>
    <row r="175" spans="1:5" x14ac:dyDescent="0.35">
      <c r="A175" s="36" t="s">
        <v>179</v>
      </c>
      <c r="B175" s="27" t="s">
        <v>11</v>
      </c>
      <c r="C175" s="20">
        <v>197.6</v>
      </c>
      <c r="D175" s="12">
        <v>5</v>
      </c>
      <c r="E175" s="32">
        <f>C175*D175</f>
        <v>988</v>
      </c>
    </row>
    <row r="176" spans="1:5" x14ac:dyDescent="0.35">
      <c r="A176" s="36" t="s">
        <v>180</v>
      </c>
      <c r="B176" s="11" t="s">
        <v>13</v>
      </c>
      <c r="C176" s="20">
        <v>218.4</v>
      </c>
      <c r="D176" s="12">
        <v>25</v>
      </c>
      <c r="E176" s="32">
        <f t="shared" ref="E176:E180" si="14">C176*D176</f>
        <v>5460</v>
      </c>
    </row>
    <row r="177" spans="1:5" x14ac:dyDescent="0.35">
      <c r="A177" s="36" t="s">
        <v>181</v>
      </c>
      <c r="B177" s="11" t="s">
        <v>15</v>
      </c>
      <c r="C177" s="20">
        <v>249.6</v>
      </c>
      <c r="D177" s="12">
        <v>40</v>
      </c>
      <c r="E177" s="32">
        <f t="shared" si="14"/>
        <v>9984</v>
      </c>
    </row>
    <row r="178" spans="1:5" x14ac:dyDescent="0.35">
      <c r="A178" s="36" t="s">
        <v>182</v>
      </c>
      <c r="B178" s="11" t="s">
        <v>17</v>
      </c>
      <c r="C178" s="20">
        <v>260</v>
      </c>
      <c r="D178" s="12">
        <v>40</v>
      </c>
      <c r="E178" s="32">
        <f t="shared" si="14"/>
        <v>10400</v>
      </c>
    </row>
    <row r="179" spans="1:5" x14ac:dyDescent="0.35">
      <c r="A179" s="36" t="s">
        <v>183</v>
      </c>
      <c r="B179" s="11" t="s">
        <v>19</v>
      </c>
      <c r="C179" s="20">
        <v>301.60000000000002</v>
      </c>
      <c r="D179" s="12">
        <v>20</v>
      </c>
      <c r="E179" s="32">
        <f t="shared" si="14"/>
        <v>6032</v>
      </c>
    </row>
    <row r="180" spans="1:5" x14ac:dyDescent="0.35">
      <c r="A180" s="36" t="s">
        <v>184</v>
      </c>
      <c r="B180" s="24" t="s">
        <v>21</v>
      </c>
      <c r="C180" s="20">
        <v>312</v>
      </c>
      <c r="D180" s="12">
        <v>20</v>
      </c>
      <c r="E180" s="32">
        <f t="shared" si="14"/>
        <v>6240</v>
      </c>
    </row>
    <row r="181" spans="1:5" x14ac:dyDescent="0.35">
      <c r="A181" s="113" t="s">
        <v>166</v>
      </c>
      <c r="B181" s="113"/>
      <c r="C181" s="113"/>
      <c r="D181" s="113"/>
      <c r="E181" s="113"/>
    </row>
    <row r="182" spans="1:5" x14ac:dyDescent="0.35">
      <c r="A182" s="36" t="s">
        <v>185</v>
      </c>
      <c r="B182" s="27" t="s">
        <v>11</v>
      </c>
      <c r="C182" s="20">
        <v>156</v>
      </c>
      <c r="D182" s="12">
        <v>5</v>
      </c>
      <c r="E182" s="32">
        <f t="shared" ref="E182:E187" si="15">C182*D182</f>
        <v>780</v>
      </c>
    </row>
    <row r="183" spans="1:5" x14ac:dyDescent="0.35">
      <c r="A183" s="36" t="s">
        <v>186</v>
      </c>
      <c r="B183" s="11" t="s">
        <v>13</v>
      </c>
      <c r="C183" s="20">
        <v>166.4</v>
      </c>
      <c r="D183" s="12">
        <v>25</v>
      </c>
      <c r="E183" s="32">
        <f t="shared" si="15"/>
        <v>4160</v>
      </c>
    </row>
    <row r="184" spans="1:5" x14ac:dyDescent="0.35">
      <c r="A184" s="36" t="s">
        <v>187</v>
      </c>
      <c r="B184" s="11" t="s">
        <v>15</v>
      </c>
      <c r="C184" s="20">
        <v>176.8</v>
      </c>
      <c r="D184" s="12">
        <v>40</v>
      </c>
      <c r="E184" s="32">
        <f t="shared" si="15"/>
        <v>7072</v>
      </c>
    </row>
    <row r="185" spans="1:5" x14ac:dyDescent="0.35">
      <c r="A185" s="36" t="s">
        <v>188</v>
      </c>
      <c r="B185" s="11" t="s">
        <v>17</v>
      </c>
      <c r="C185" s="20">
        <v>187.2</v>
      </c>
      <c r="D185" s="12">
        <v>40</v>
      </c>
      <c r="E185" s="32">
        <f t="shared" si="15"/>
        <v>7488</v>
      </c>
    </row>
    <row r="186" spans="1:5" x14ac:dyDescent="0.35">
      <c r="A186" s="36" t="s">
        <v>189</v>
      </c>
      <c r="B186" s="11" t="s">
        <v>19</v>
      </c>
      <c r="C186" s="20">
        <v>197.6</v>
      </c>
      <c r="D186" s="12">
        <v>20</v>
      </c>
      <c r="E186" s="32">
        <f t="shared" si="15"/>
        <v>3952</v>
      </c>
    </row>
    <row r="187" spans="1:5" x14ac:dyDescent="0.35">
      <c r="A187" s="36" t="s">
        <v>190</v>
      </c>
      <c r="B187" s="24" t="s">
        <v>21</v>
      </c>
      <c r="C187" s="20">
        <v>208</v>
      </c>
      <c r="D187" s="12">
        <v>20</v>
      </c>
      <c r="E187" s="32">
        <f t="shared" si="15"/>
        <v>4160</v>
      </c>
    </row>
    <row r="188" spans="1:5" x14ac:dyDescent="0.35">
      <c r="A188" s="113" t="s">
        <v>173</v>
      </c>
      <c r="B188" s="113"/>
      <c r="C188" s="113"/>
      <c r="D188" s="113"/>
      <c r="E188" s="113"/>
    </row>
    <row r="189" spans="1:5" x14ac:dyDescent="0.3">
      <c r="A189" s="46" t="s">
        <v>191</v>
      </c>
      <c r="B189" s="47" t="s">
        <v>192</v>
      </c>
      <c r="C189" s="20">
        <v>655.20000000000005</v>
      </c>
      <c r="D189" s="12">
        <v>25</v>
      </c>
      <c r="E189" s="32">
        <f>C189*D189</f>
        <v>16380.000000000002</v>
      </c>
    </row>
    <row r="190" spans="1:5" x14ac:dyDescent="0.3">
      <c r="A190" s="46" t="s">
        <v>193</v>
      </c>
      <c r="B190" s="47" t="s">
        <v>399</v>
      </c>
      <c r="C190" s="20">
        <v>780</v>
      </c>
      <c r="D190" s="12">
        <v>25</v>
      </c>
      <c r="E190" s="32">
        <f>C190*D190</f>
        <v>19500</v>
      </c>
    </row>
    <row r="191" spans="1:5" x14ac:dyDescent="0.3">
      <c r="A191" s="46" t="s">
        <v>397</v>
      </c>
      <c r="B191" s="47" t="s">
        <v>400</v>
      </c>
      <c r="C191" s="20">
        <v>1144</v>
      </c>
      <c r="D191" s="12">
        <v>25</v>
      </c>
      <c r="E191" s="32">
        <f>C191*D191</f>
        <v>28600</v>
      </c>
    </row>
    <row r="192" spans="1:5" x14ac:dyDescent="0.3">
      <c r="A192" s="6" t="s">
        <v>398</v>
      </c>
      <c r="B192" s="47" t="s">
        <v>401</v>
      </c>
      <c r="C192" s="20">
        <v>1352</v>
      </c>
      <c r="D192" s="12">
        <v>25</v>
      </c>
      <c r="E192" s="32">
        <f>C192*D192</f>
        <v>33800</v>
      </c>
    </row>
    <row r="194" spans="1:5" ht="24.75" customHeight="1" x14ac:dyDescent="0.35">
      <c r="A194" s="23"/>
      <c r="B194" s="100" t="s">
        <v>194</v>
      </c>
      <c r="C194" s="101"/>
      <c r="D194" s="101"/>
      <c r="E194" s="102"/>
    </row>
    <row r="195" spans="1:5" x14ac:dyDescent="0.35">
      <c r="A195" s="119" t="s">
        <v>195</v>
      </c>
      <c r="B195" s="120"/>
      <c r="C195" s="120"/>
      <c r="D195" s="120"/>
      <c r="E195" s="121"/>
    </row>
    <row r="196" spans="1:5" x14ac:dyDescent="0.35">
      <c r="A196" s="26" t="s">
        <v>196</v>
      </c>
      <c r="B196" s="27" t="s">
        <v>197</v>
      </c>
      <c r="C196" s="20">
        <v>24</v>
      </c>
      <c r="D196" s="28">
        <v>1</v>
      </c>
      <c r="E196" s="32">
        <f>C196*D196</f>
        <v>24</v>
      </c>
    </row>
    <row r="197" spans="1:5" x14ac:dyDescent="0.35">
      <c r="A197" s="26" t="s">
        <v>198</v>
      </c>
      <c r="B197" s="11" t="s">
        <v>13</v>
      </c>
      <c r="C197" s="20">
        <v>25</v>
      </c>
      <c r="D197" s="12">
        <v>2</v>
      </c>
      <c r="E197" s="32">
        <f t="shared" ref="E197:E201" si="16">C197*D197</f>
        <v>50</v>
      </c>
    </row>
    <row r="198" spans="1:5" x14ac:dyDescent="0.35">
      <c r="A198" s="26" t="s">
        <v>199</v>
      </c>
      <c r="B198" s="11" t="s">
        <v>15</v>
      </c>
      <c r="C198" s="20">
        <v>27.1</v>
      </c>
      <c r="D198" s="12">
        <v>2</v>
      </c>
      <c r="E198" s="32">
        <f t="shared" si="16"/>
        <v>54.2</v>
      </c>
    </row>
    <row r="199" spans="1:5" x14ac:dyDescent="0.35">
      <c r="A199" s="26" t="s">
        <v>200</v>
      </c>
      <c r="B199" s="11" t="s">
        <v>17</v>
      </c>
      <c r="C199" s="20">
        <v>31.2</v>
      </c>
      <c r="D199" s="12">
        <v>7</v>
      </c>
      <c r="E199" s="32">
        <f t="shared" si="16"/>
        <v>218.4</v>
      </c>
    </row>
    <row r="200" spans="1:5" x14ac:dyDescent="0.35">
      <c r="A200" s="26" t="s">
        <v>201</v>
      </c>
      <c r="B200" s="11" t="s">
        <v>19</v>
      </c>
      <c r="C200" s="20">
        <v>33.300000000000004</v>
      </c>
      <c r="D200" s="12">
        <v>4</v>
      </c>
      <c r="E200" s="32">
        <f t="shared" si="16"/>
        <v>133.20000000000002</v>
      </c>
    </row>
    <row r="201" spans="1:5" x14ac:dyDescent="0.35">
      <c r="A201" s="26" t="s">
        <v>202</v>
      </c>
      <c r="B201" s="24" t="s">
        <v>21</v>
      </c>
      <c r="C201" s="20">
        <v>36.4</v>
      </c>
      <c r="D201" s="25">
        <v>1</v>
      </c>
      <c r="E201" s="32">
        <f t="shared" si="16"/>
        <v>36.4</v>
      </c>
    </row>
    <row r="202" spans="1:5" x14ac:dyDescent="0.35">
      <c r="A202" s="119" t="s">
        <v>203</v>
      </c>
      <c r="B202" s="120"/>
      <c r="C202" s="120"/>
      <c r="D202" s="120"/>
      <c r="E202" s="121"/>
    </row>
    <row r="203" spans="1:5" x14ac:dyDescent="0.35">
      <c r="A203" s="26" t="s">
        <v>204</v>
      </c>
      <c r="B203" s="27" t="s">
        <v>197</v>
      </c>
      <c r="C203" s="20">
        <v>27.1</v>
      </c>
      <c r="D203" s="28">
        <v>2</v>
      </c>
      <c r="E203" s="32">
        <f t="shared" ref="E203:E208" si="17">C203*D203</f>
        <v>54.2</v>
      </c>
    </row>
    <row r="204" spans="1:5" x14ac:dyDescent="0.35">
      <c r="A204" s="26" t="s">
        <v>205</v>
      </c>
      <c r="B204" s="11" t="s">
        <v>13</v>
      </c>
      <c r="C204" s="20">
        <v>28.1</v>
      </c>
      <c r="D204" s="12">
        <v>4</v>
      </c>
      <c r="E204" s="32">
        <f t="shared" si="17"/>
        <v>112.4</v>
      </c>
    </row>
    <row r="205" spans="1:5" x14ac:dyDescent="0.35">
      <c r="A205" s="26" t="s">
        <v>206</v>
      </c>
      <c r="B205" s="11" t="s">
        <v>15</v>
      </c>
      <c r="C205" s="20">
        <v>30.200000000000003</v>
      </c>
      <c r="D205" s="12">
        <v>7</v>
      </c>
      <c r="E205" s="32">
        <f t="shared" si="17"/>
        <v>211.40000000000003</v>
      </c>
    </row>
    <row r="206" spans="1:5" x14ac:dyDescent="0.35">
      <c r="A206" s="26" t="s">
        <v>207</v>
      </c>
      <c r="B206" s="11" t="s">
        <v>17</v>
      </c>
      <c r="C206" s="20">
        <v>32.300000000000004</v>
      </c>
      <c r="D206" s="12">
        <v>7</v>
      </c>
      <c r="E206" s="32">
        <f t="shared" si="17"/>
        <v>226.10000000000002</v>
      </c>
    </row>
    <row r="207" spans="1:5" x14ac:dyDescent="0.35">
      <c r="A207" s="26" t="s">
        <v>208</v>
      </c>
      <c r="B207" s="11" t="s">
        <v>19</v>
      </c>
      <c r="C207" s="20">
        <v>36.4</v>
      </c>
      <c r="D207" s="12">
        <v>3</v>
      </c>
      <c r="E207" s="32">
        <f t="shared" si="17"/>
        <v>109.19999999999999</v>
      </c>
    </row>
    <row r="208" spans="1:5" x14ac:dyDescent="0.35">
      <c r="A208" s="26" t="s">
        <v>209</v>
      </c>
      <c r="B208" s="24" t="s">
        <v>21</v>
      </c>
      <c r="C208" s="20">
        <v>38.5</v>
      </c>
      <c r="D208" s="25">
        <v>1</v>
      </c>
      <c r="E208" s="32">
        <f t="shared" si="17"/>
        <v>38.5</v>
      </c>
    </row>
    <row r="209" spans="1:5" x14ac:dyDescent="0.35">
      <c r="A209" s="119" t="s">
        <v>210</v>
      </c>
      <c r="B209" s="120"/>
      <c r="C209" s="120"/>
      <c r="D209" s="120"/>
      <c r="E209" s="121"/>
    </row>
    <row r="210" spans="1:5" x14ac:dyDescent="0.35">
      <c r="A210" s="26" t="s">
        <v>211</v>
      </c>
      <c r="B210" s="27" t="s">
        <v>197</v>
      </c>
      <c r="C210" s="20">
        <v>27.1</v>
      </c>
      <c r="D210" s="28">
        <v>2</v>
      </c>
      <c r="E210" s="32">
        <f>C210*D210</f>
        <v>54.2</v>
      </c>
    </row>
    <row r="211" spans="1:5" x14ac:dyDescent="0.35">
      <c r="A211" s="26" t="s">
        <v>212</v>
      </c>
      <c r="B211" s="11" t="s">
        <v>13</v>
      </c>
      <c r="C211" s="20">
        <v>28.1</v>
      </c>
      <c r="D211" s="12">
        <v>2</v>
      </c>
      <c r="E211" s="32">
        <f t="shared" ref="E211:E215" si="18">C211*D211</f>
        <v>56.2</v>
      </c>
    </row>
    <row r="212" spans="1:5" x14ac:dyDescent="0.35">
      <c r="A212" s="26" t="s">
        <v>213</v>
      </c>
      <c r="B212" s="11" t="s">
        <v>15</v>
      </c>
      <c r="C212" s="20">
        <v>30.200000000000003</v>
      </c>
      <c r="D212" s="12">
        <v>2</v>
      </c>
      <c r="E212" s="32">
        <f t="shared" si="18"/>
        <v>60.400000000000006</v>
      </c>
    </row>
    <row r="213" spans="1:5" x14ac:dyDescent="0.35">
      <c r="A213" s="26" t="s">
        <v>214</v>
      </c>
      <c r="B213" s="11" t="s">
        <v>17</v>
      </c>
      <c r="C213" s="20">
        <v>32.300000000000004</v>
      </c>
      <c r="D213" s="12">
        <v>1</v>
      </c>
      <c r="E213" s="32">
        <f t="shared" si="18"/>
        <v>32.300000000000004</v>
      </c>
    </row>
    <row r="214" spans="1:5" x14ac:dyDescent="0.35">
      <c r="A214" s="26" t="s">
        <v>215</v>
      </c>
      <c r="B214" s="11" t="s">
        <v>19</v>
      </c>
      <c r="C214" s="20">
        <v>36.4</v>
      </c>
      <c r="D214" s="12">
        <v>1</v>
      </c>
      <c r="E214" s="32">
        <f t="shared" si="18"/>
        <v>36.4</v>
      </c>
    </row>
    <row r="215" spans="1:5" x14ac:dyDescent="0.35">
      <c r="A215" s="26" t="s">
        <v>216</v>
      </c>
      <c r="B215" s="24" t="s">
        <v>21</v>
      </c>
      <c r="C215" s="20">
        <v>38.5</v>
      </c>
      <c r="D215" s="25">
        <v>1</v>
      </c>
      <c r="E215" s="32">
        <f t="shared" si="18"/>
        <v>38.5</v>
      </c>
    </row>
    <row r="216" spans="1:5" ht="14.5" x14ac:dyDescent="0.35">
      <c r="A216" s="122" t="s">
        <v>217</v>
      </c>
      <c r="B216" s="123"/>
      <c r="C216" s="123"/>
      <c r="D216" s="123"/>
      <c r="E216" s="124"/>
    </row>
    <row r="217" spans="1:5" ht="29" x14ac:dyDescent="0.35">
      <c r="A217" s="48" t="s">
        <v>218</v>
      </c>
      <c r="B217" s="49" t="s">
        <v>219</v>
      </c>
      <c r="C217" s="20">
        <v>15.6</v>
      </c>
      <c r="D217" s="51">
        <v>24</v>
      </c>
      <c r="E217" s="52">
        <f>C217*D217</f>
        <v>374.4</v>
      </c>
    </row>
    <row r="218" spans="1:5" ht="14.5" x14ac:dyDescent="0.35">
      <c r="A218" s="48" t="s">
        <v>220</v>
      </c>
      <c r="B218" s="53" t="s">
        <v>221</v>
      </c>
      <c r="C218" s="20">
        <v>52</v>
      </c>
      <c r="D218" s="51">
        <v>1</v>
      </c>
      <c r="E218" s="52">
        <f t="shared" ref="E218:E224" si="19">C218*D218</f>
        <v>52</v>
      </c>
    </row>
    <row r="219" spans="1:5" ht="14.5" x14ac:dyDescent="0.35">
      <c r="A219" s="48" t="s">
        <v>222</v>
      </c>
      <c r="B219" s="49" t="s">
        <v>123</v>
      </c>
      <c r="C219" s="20">
        <v>72.8</v>
      </c>
      <c r="D219" s="51">
        <v>1</v>
      </c>
      <c r="E219" s="52">
        <f t="shared" si="19"/>
        <v>72.8</v>
      </c>
    </row>
    <row r="220" spans="1:5" ht="49.15" customHeight="1" x14ac:dyDescent="0.35">
      <c r="A220" s="48" t="s">
        <v>223</v>
      </c>
      <c r="B220" s="49" t="s">
        <v>224</v>
      </c>
      <c r="C220" s="20">
        <v>104</v>
      </c>
      <c r="D220" s="51">
        <v>1</v>
      </c>
      <c r="E220" s="52">
        <f t="shared" si="19"/>
        <v>104</v>
      </c>
    </row>
    <row r="221" spans="1:5" ht="14.5" x14ac:dyDescent="0.35">
      <c r="A221" s="48" t="s">
        <v>225</v>
      </c>
      <c r="B221" s="49" t="s">
        <v>226</v>
      </c>
      <c r="C221" s="20">
        <v>208</v>
      </c>
      <c r="D221" s="51">
        <v>1</v>
      </c>
      <c r="E221" s="52">
        <f t="shared" si="19"/>
        <v>208</v>
      </c>
    </row>
    <row r="222" spans="1:5" ht="14.5" x14ac:dyDescent="0.35">
      <c r="A222" s="48" t="s">
        <v>227</v>
      </c>
      <c r="B222" s="49" t="s">
        <v>228</v>
      </c>
      <c r="C222" s="20">
        <v>416</v>
      </c>
      <c r="D222" s="51">
        <v>1</v>
      </c>
      <c r="E222" s="52">
        <f t="shared" si="19"/>
        <v>416</v>
      </c>
    </row>
    <row r="223" spans="1:5" ht="14.5" x14ac:dyDescent="0.35">
      <c r="A223" s="48" t="s">
        <v>229</v>
      </c>
      <c r="B223" s="49" t="s">
        <v>230</v>
      </c>
      <c r="C223" s="20">
        <v>728</v>
      </c>
      <c r="D223" s="51">
        <v>1</v>
      </c>
      <c r="E223" s="52">
        <f t="shared" si="19"/>
        <v>728</v>
      </c>
    </row>
    <row r="224" spans="1:5" ht="14.5" x14ac:dyDescent="0.35">
      <c r="A224" s="48" t="s">
        <v>231</v>
      </c>
      <c r="B224" s="49" t="s">
        <v>232</v>
      </c>
      <c r="C224" s="20">
        <v>832</v>
      </c>
      <c r="D224" s="51">
        <v>1</v>
      </c>
      <c r="E224" s="52">
        <f t="shared" si="19"/>
        <v>832</v>
      </c>
    </row>
    <row r="225" spans="1:5" ht="14.5" x14ac:dyDescent="0.35">
      <c r="A225" s="122" t="s">
        <v>233</v>
      </c>
      <c r="B225" s="123"/>
      <c r="C225" s="123"/>
      <c r="D225" s="123"/>
      <c r="E225" s="124"/>
    </row>
    <row r="226" spans="1:5" ht="14.5" x14ac:dyDescent="0.35">
      <c r="A226" s="48" t="s">
        <v>234</v>
      </c>
      <c r="B226" s="49" t="s">
        <v>197</v>
      </c>
      <c r="C226" s="20">
        <v>20.8</v>
      </c>
      <c r="D226" s="51">
        <v>1</v>
      </c>
      <c r="E226" s="52">
        <f>C226*D226</f>
        <v>20.8</v>
      </c>
    </row>
    <row r="227" spans="1:5" ht="14.5" x14ac:dyDescent="0.35">
      <c r="A227" s="48" t="s">
        <v>235</v>
      </c>
      <c r="B227" s="49" t="s">
        <v>13</v>
      </c>
      <c r="C227" s="20">
        <v>21.900000000000002</v>
      </c>
      <c r="D227" s="51">
        <v>1</v>
      </c>
      <c r="E227" s="52">
        <f t="shared" ref="E227:E231" si="20">C227*D227</f>
        <v>21.900000000000002</v>
      </c>
    </row>
    <row r="228" spans="1:5" ht="14.5" x14ac:dyDescent="0.35">
      <c r="A228" s="48" t="s">
        <v>236</v>
      </c>
      <c r="B228" s="49" t="s">
        <v>15</v>
      </c>
      <c r="C228" s="20">
        <v>22.900000000000002</v>
      </c>
      <c r="D228" s="51">
        <v>4</v>
      </c>
      <c r="E228" s="52">
        <f t="shared" si="20"/>
        <v>91.600000000000009</v>
      </c>
    </row>
    <row r="229" spans="1:5" ht="14.5" x14ac:dyDescent="0.35">
      <c r="A229" s="48" t="s">
        <v>237</v>
      </c>
      <c r="B229" s="49" t="s">
        <v>17</v>
      </c>
      <c r="C229" s="20">
        <v>24</v>
      </c>
      <c r="D229" s="51">
        <v>1</v>
      </c>
      <c r="E229" s="52">
        <f t="shared" si="20"/>
        <v>24</v>
      </c>
    </row>
    <row r="230" spans="1:5" ht="14.5" x14ac:dyDescent="0.35">
      <c r="A230" s="48" t="s">
        <v>238</v>
      </c>
      <c r="B230" s="49" t="s">
        <v>19</v>
      </c>
      <c r="C230" s="20">
        <v>25</v>
      </c>
      <c r="D230" s="51">
        <v>1</v>
      </c>
      <c r="E230" s="52">
        <f t="shared" si="20"/>
        <v>25</v>
      </c>
    </row>
    <row r="231" spans="1:5" ht="14.5" x14ac:dyDescent="0.35">
      <c r="A231" s="48" t="s">
        <v>239</v>
      </c>
      <c r="B231" s="49" t="s">
        <v>21</v>
      </c>
      <c r="C231" s="20">
        <v>26</v>
      </c>
      <c r="D231" s="51">
        <v>1</v>
      </c>
      <c r="E231" s="52">
        <f t="shared" si="20"/>
        <v>26</v>
      </c>
    </row>
    <row r="232" spans="1:5" ht="14.5" x14ac:dyDescent="0.35">
      <c r="A232" s="122" t="s">
        <v>240</v>
      </c>
      <c r="B232" s="123"/>
      <c r="C232" s="123"/>
      <c r="D232" s="123"/>
      <c r="E232" s="124"/>
    </row>
    <row r="233" spans="1:5" ht="14.5" x14ac:dyDescent="0.35">
      <c r="A233" s="48" t="s">
        <v>241</v>
      </c>
      <c r="B233" s="49" t="s">
        <v>242</v>
      </c>
      <c r="C233" s="20">
        <v>36.4</v>
      </c>
      <c r="D233" s="51">
        <v>8</v>
      </c>
      <c r="E233" s="52">
        <f>C233*D233</f>
        <v>291.2</v>
      </c>
    </row>
    <row r="234" spans="1:5" ht="14.5" x14ac:dyDescent="0.35">
      <c r="A234" s="48" t="s">
        <v>243</v>
      </c>
      <c r="B234" s="49" t="s">
        <v>244</v>
      </c>
      <c r="C234" s="20">
        <v>46.8</v>
      </c>
      <c r="D234" s="51">
        <v>52</v>
      </c>
      <c r="E234" s="52">
        <f t="shared" ref="E234:E242" si="21">C234*D234</f>
        <v>2433.6</v>
      </c>
    </row>
    <row r="235" spans="1:5" ht="14.5" x14ac:dyDescent="0.35">
      <c r="A235" s="48" t="s">
        <v>245</v>
      </c>
      <c r="B235" s="49" t="s">
        <v>246</v>
      </c>
      <c r="C235" s="20">
        <v>57.2</v>
      </c>
      <c r="D235" s="51">
        <v>24</v>
      </c>
      <c r="E235" s="52">
        <f t="shared" si="21"/>
        <v>1372.8000000000002</v>
      </c>
    </row>
    <row r="236" spans="1:5" ht="14.5" x14ac:dyDescent="0.35">
      <c r="A236" s="48" t="s">
        <v>247</v>
      </c>
      <c r="B236" s="49" t="s">
        <v>248</v>
      </c>
      <c r="C236" s="20">
        <v>67.599999999999994</v>
      </c>
      <c r="D236" s="51">
        <v>1</v>
      </c>
      <c r="E236" s="52">
        <f t="shared" si="21"/>
        <v>67.599999999999994</v>
      </c>
    </row>
    <row r="237" spans="1:5" ht="14.5" x14ac:dyDescent="0.35">
      <c r="A237" s="48" t="s">
        <v>249</v>
      </c>
      <c r="B237" s="49" t="s">
        <v>250</v>
      </c>
      <c r="C237" s="20">
        <v>88.4</v>
      </c>
      <c r="D237" s="51">
        <v>1</v>
      </c>
      <c r="E237" s="52">
        <f t="shared" si="21"/>
        <v>88.4</v>
      </c>
    </row>
    <row r="238" spans="1:5" ht="36" customHeight="1" x14ac:dyDescent="0.35">
      <c r="A238" s="48" t="s">
        <v>251</v>
      </c>
      <c r="B238" s="49" t="s">
        <v>252</v>
      </c>
      <c r="C238" s="20">
        <v>104</v>
      </c>
      <c r="D238" s="51">
        <v>1</v>
      </c>
      <c r="E238" s="52">
        <f t="shared" si="21"/>
        <v>104</v>
      </c>
    </row>
    <row r="239" spans="1:5" ht="14.5" x14ac:dyDescent="0.35">
      <c r="A239" s="48" t="s">
        <v>253</v>
      </c>
      <c r="B239" s="49" t="s">
        <v>254</v>
      </c>
      <c r="C239" s="20">
        <v>119.6</v>
      </c>
      <c r="D239" s="51">
        <v>4</v>
      </c>
      <c r="E239" s="52">
        <f t="shared" si="21"/>
        <v>478.4</v>
      </c>
    </row>
    <row r="240" spans="1:5" ht="26.5" customHeight="1" x14ac:dyDescent="0.35">
      <c r="A240" s="48" t="s">
        <v>255</v>
      </c>
      <c r="B240" s="49" t="s">
        <v>256</v>
      </c>
      <c r="C240" s="20">
        <v>104</v>
      </c>
      <c r="D240" s="51">
        <v>1</v>
      </c>
      <c r="E240" s="52">
        <f t="shared" si="21"/>
        <v>104</v>
      </c>
    </row>
    <row r="241" spans="1:5" ht="29" x14ac:dyDescent="0.35">
      <c r="A241" s="48" t="s">
        <v>257</v>
      </c>
      <c r="B241" s="49" t="s">
        <v>258</v>
      </c>
      <c r="C241" s="20">
        <v>72.8</v>
      </c>
      <c r="D241" s="51">
        <v>1</v>
      </c>
      <c r="E241" s="52">
        <f t="shared" si="21"/>
        <v>72.8</v>
      </c>
    </row>
    <row r="242" spans="1:5" ht="43.5" x14ac:dyDescent="0.35">
      <c r="A242" s="48" t="s">
        <v>259</v>
      </c>
      <c r="B242" s="49" t="s">
        <v>260</v>
      </c>
      <c r="C242" s="20">
        <v>208</v>
      </c>
      <c r="D242" s="51">
        <v>1</v>
      </c>
      <c r="E242" s="52">
        <f t="shared" si="21"/>
        <v>208</v>
      </c>
    </row>
    <row r="243" spans="1:5" ht="14.5" x14ac:dyDescent="0.35">
      <c r="A243" s="122" t="s">
        <v>261</v>
      </c>
      <c r="B243" s="123"/>
      <c r="C243" s="123"/>
      <c r="D243" s="123"/>
      <c r="E243" s="124"/>
    </row>
    <row r="244" spans="1:5" ht="29" x14ac:dyDescent="0.35">
      <c r="A244" s="48" t="s">
        <v>262</v>
      </c>
      <c r="B244" s="49" t="s">
        <v>263</v>
      </c>
      <c r="C244" s="20">
        <v>208</v>
      </c>
      <c r="D244" s="51">
        <v>1</v>
      </c>
      <c r="E244" s="52">
        <f>C244*D244</f>
        <v>208</v>
      </c>
    </row>
    <row r="245" spans="1:5" ht="58.15" customHeight="1" x14ac:dyDescent="0.35">
      <c r="A245" s="48" t="s">
        <v>264</v>
      </c>
      <c r="B245" s="49" t="s">
        <v>265</v>
      </c>
      <c r="C245" s="20">
        <v>364</v>
      </c>
      <c r="D245" s="51">
        <v>1</v>
      </c>
      <c r="E245" s="52">
        <f>C245*D245</f>
        <v>364</v>
      </c>
    </row>
    <row r="246" spans="1:5" ht="14.5" x14ac:dyDescent="0.35">
      <c r="A246" s="125" t="s">
        <v>266</v>
      </c>
      <c r="B246" s="126"/>
      <c r="C246" s="126"/>
      <c r="D246" s="126"/>
      <c r="E246" s="126"/>
    </row>
    <row r="247" spans="1:5" ht="42.65" customHeight="1" x14ac:dyDescent="0.35">
      <c r="A247" s="116" t="s">
        <v>267</v>
      </c>
      <c r="B247" s="117"/>
      <c r="C247" s="117"/>
      <c r="D247" s="117"/>
      <c r="E247" s="118"/>
    </row>
    <row r="248" spans="1:5" ht="14.5" x14ac:dyDescent="0.35">
      <c r="A248" s="54" t="s">
        <v>268</v>
      </c>
      <c r="B248" s="49" t="s">
        <v>226</v>
      </c>
      <c r="C248" s="20">
        <v>312</v>
      </c>
      <c r="D248" s="51">
        <v>1</v>
      </c>
      <c r="E248" s="52">
        <f>C248*D248</f>
        <v>312</v>
      </c>
    </row>
    <row r="249" spans="1:5" ht="14.5" x14ac:dyDescent="0.35">
      <c r="A249" s="48" t="s">
        <v>269</v>
      </c>
      <c r="B249" s="49" t="s">
        <v>270</v>
      </c>
      <c r="C249" s="20">
        <v>624</v>
      </c>
      <c r="D249" s="51">
        <v>1</v>
      </c>
      <c r="E249" s="52">
        <f t="shared" ref="E249:E251" si="22">C249*D249</f>
        <v>624</v>
      </c>
    </row>
    <row r="250" spans="1:5" ht="31.9" customHeight="1" x14ac:dyDescent="0.35">
      <c r="A250" s="48" t="s">
        <v>271</v>
      </c>
      <c r="B250" s="49" t="s">
        <v>272</v>
      </c>
      <c r="C250" s="20">
        <v>936</v>
      </c>
      <c r="D250" s="51">
        <v>1</v>
      </c>
      <c r="E250" s="52">
        <f t="shared" si="22"/>
        <v>936</v>
      </c>
    </row>
    <row r="251" spans="1:5" ht="14.5" x14ac:dyDescent="0.35">
      <c r="A251" s="48" t="s">
        <v>273</v>
      </c>
      <c r="B251" s="49" t="s">
        <v>232</v>
      </c>
      <c r="C251" s="20">
        <v>1248</v>
      </c>
      <c r="D251" s="51">
        <v>1</v>
      </c>
      <c r="E251" s="52">
        <f t="shared" si="22"/>
        <v>1248</v>
      </c>
    </row>
    <row r="252" spans="1:5" ht="34.15" customHeight="1" x14ac:dyDescent="0.35">
      <c r="A252" s="116" t="s">
        <v>274</v>
      </c>
      <c r="B252" s="117"/>
      <c r="C252" s="117"/>
      <c r="D252" s="117"/>
      <c r="E252" s="118"/>
    </row>
    <row r="253" spans="1:5" ht="14.5" x14ac:dyDescent="0.35">
      <c r="A253" s="48" t="s">
        <v>275</v>
      </c>
      <c r="B253" s="49" t="s">
        <v>242</v>
      </c>
      <c r="C253" s="20">
        <v>46.8</v>
      </c>
      <c r="D253" s="51">
        <v>1</v>
      </c>
      <c r="E253" s="52">
        <f>C253*D253</f>
        <v>46.8</v>
      </c>
    </row>
    <row r="254" spans="1:5" ht="14.5" x14ac:dyDescent="0.35">
      <c r="A254" s="48" t="s">
        <v>276</v>
      </c>
      <c r="B254" s="49" t="s">
        <v>244</v>
      </c>
      <c r="C254" s="20">
        <v>57.2</v>
      </c>
      <c r="D254" s="51">
        <v>4</v>
      </c>
      <c r="E254" s="52">
        <f t="shared" ref="E254:E260" si="23">C254*D254</f>
        <v>228.8</v>
      </c>
    </row>
    <row r="255" spans="1:5" ht="14.5" x14ac:dyDescent="0.35">
      <c r="A255" s="48" t="s">
        <v>277</v>
      </c>
      <c r="B255" s="49" t="s">
        <v>246</v>
      </c>
      <c r="C255" s="20">
        <v>88.4</v>
      </c>
      <c r="D255" s="51">
        <v>1</v>
      </c>
      <c r="E255" s="52">
        <f t="shared" si="23"/>
        <v>88.4</v>
      </c>
    </row>
    <row r="256" spans="1:5" ht="14.5" x14ac:dyDescent="0.35">
      <c r="A256" s="48" t="s">
        <v>278</v>
      </c>
      <c r="B256" s="49" t="s">
        <v>248</v>
      </c>
      <c r="C256" s="20">
        <v>109.2</v>
      </c>
      <c r="D256" s="51">
        <v>1</v>
      </c>
      <c r="E256" s="52">
        <f t="shared" si="23"/>
        <v>109.2</v>
      </c>
    </row>
    <row r="257" spans="1:5" ht="26.5" customHeight="1" x14ac:dyDescent="0.35">
      <c r="A257" s="48" t="s">
        <v>279</v>
      </c>
      <c r="B257" s="49" t="s">
        <v>250</v>
      </c>
      <c r="C257" s="20">
        <v>150.80000000000001</v>
      </c>
      <c r="D257" s="51">
        <v>1</v>
      </c>
      <c r="E257" s="52">
        <f t="shared" si="23"/>
        <v>150.80000000000001</v>
      </c>
    </row>
    <row r="258" spans="1:5" ht="14.5" x14ac:dyDescent="0.35">
      <c r="A258" s="48" t="s">
        <v>280</v>
      </c>
      <c r="B258" s="49" t="s">
        <v>252</v>
      </c>
      <c r="C258" s="20">
        <v>197.6</v>
      </c>
      <c r="D258" s="51">
        <v>1</v>
      </c>
      <c r="E258" s="52">
        <f t="shared" si="23"/>
        <v>197.6</v>
      </c>
    </row>
    <row r="259" spans="1:5" ht="14.5" x14ac:dyDescent="0.35">
      <c r="A259" s="48" t="s">
        <v>281</v>
      </c>
      <c r="B259" s="49" t="s">
        <v>254</v>
      </c>
      <c r="C259" s="20">
        <v>249.6</v>
      </c>
      <c r="D259" s="51">
        <v>1</v>
      </c>
      <c r="E259" s="52">
        <f t="shared" si="23"/>
        <v>249.6</v>
      </c>
    </row>
    <row r="260" spans="1:5" ht="43.5" x14ac:dyDescent="0.35">
      <c r="A260" s="48" t="s">
        <v>282</v>
      </c>
      <c r="B260" s="49" t="s">
        <v>283</v>
      </c>
      <c r="C260" s="20">
        <v>104</v>
      </c>
      <c r="D260" s="51">
        <v>1</v>
      </c>
      <c r="E260" s="52">
        <f t="shared" si="23"/>
        <v>104</v>
      </c>
    </row>
    <row r="261" spans="1:5" ht="14.5" x14ac:dyDescent="0.35">
      <c r="A261" s="125" t="s">
        <v>284</v>
      </c>
      <c r="B261" s="126"/>
      <c r="C261" s="126"/>
      <c r="D261" s="126"/>
      <c r="E261" s="127"/>
    </row>
    <row r="262" spans="1:5" ht="36" customHeight="1" x14ac:dyDescent="0.35">
      <c r="A262" s="116" t="s">
        <v>285</v>
      </c>
      <c r="B262" s="117"/>
      <c r="C262" s="117"/>
      <c r="D262" s="117"/>
      <c r="E262" s="118"/>
    </row>
    <row r="263" spans="1:5" ht="14.5" x14ac:dyDescent="0.35">
      <c r="A263" s="48" t="s">
        <v>286</v>
      </c>
      <c r="B263" s="49" t="s">
        <v>287</v>
      </c>
      <c r="C263" s="20">
        <v>40.6</v>
      </c>
      <c r="D263" s="51">
        <v>756</v>
      </c>
      <c r="E263" s="52">
        <f>C263*D263</f>
        <v>30693.600000000002</v>
      </c>
    </row>
    <row r="264" spans="1:5" ht="30.65" customHeight="1" x14ac:dyDescent="0.35">
      <c r="A264" s="48" t="s">
        <v>288</v>
      </c>
      <c r="B264" s="49" t="s">
        <v>289</v>
      </c>
      <c r="C264" s="20">
        <v>81.199999999999989</v>
      </c>
      <c r="D264" s="51">
        <v>168</v>
      </c>
      <c r="E264" s="52">
        <f t="shared" ref="E264:E266" si="24">C264*D264</f>
        <v>13641.599999999999</v>
      </c>
    </row>
    <row r="265" spans="1:5" ht="14.5" x14ac:dyDescent="0.35">
      <c r="A265" s="48" t="s">
        <v>290</v>
      </c>
      <c r="B265" s="49" t="s">
        <v>291</v>
      </c>
      <c r="C265" s="20">
        <v>130</v>
      </c>
      <c r="D265" s="51">
        <v>25</v>
      </c>
      <c r="E265" s="52">
        <f t="shared" si="24"/>
        <v>3250</v>
      </c>
    </row>
    <row r="266" spans="1:5" ht="31.15" customHeight="1" x14ac:dyDescent="0.35">
      <c r="A266" s="48" t="s">
        <v>292</v>
      </c>
      <c r="B266" s="49" t="s">
        <v>293</v>
      </c>
      <c r="C266" s="20">
        <v>228.8</v>
      </c>
      <c r="D266" s="51">
        <v>26</v>
      </c>
      <c r="E266" s="52">
        <f t="shared" si="24"/>
        <v>5948.8</v>
      </c>
    </row>
    <row r="267" spans="1:5" ht="14.5" x14ac:dyDescent="0.35">
      <c r="A267" s="116" t="s">
        <v>294</v>
      </c>
      <c r="B267" s="117"/>
      <c r="C267" s="117"/>
      <c r="D267" s="117"/>
      <c r="E267" s="118"/>
    </row>
    <row r="268" spans="1:5" ht="14.5" x14ac:dyDescent="0.35">
      <c r="A268" s="48" t="s">
        <v>295</v>
      </c>
      <c r="B268" s="49" t="s">
        <v>296</v>
      </c>
      <c r="C268" s="20">
        <v>62.4</v>
      </c>
      <c r="D268" s="51">
        <v>200</v>
      </c>
      <c r="E268" s="52">
        <f>C268*D268</f>
        <v>12480</v>
      </c>
    </row>
    <row r="269" spans="1:5" ht="39.65" customHeight="1" x14ac:dyDescent="0.35">
      <c r="A269" s="48" t="s">
        <v>297</v>
      </c>
      <c r="B269" s="49" t="s">
        <v>289</v>
      </c>
      <c r="C269" s="20">
        <v>93.6</v>
      </c>
      <c r="D269" s="51">
        <v>104</v>
      </c>
      <c r="E269" s="52">
        <f t="shared" ref="E269:E271" si="25">C269*D269</f>
        <v>9734.4</v>
      </c>
    </row>
    <row r="270" spans="1:5" ht="14.5" x14ac:dyDescent="0.35">
      <c r="A270" s="48" t="s">
        <v>298</v>
      </c>
      <c r="B270" s="49" t="s">
        <v>291</v>
      </c>
      <c r="C270" s="20">
        <v>239.2</v>
      </c>
      <c r="D270" s="51">
        <v>1</v>
      </c>
      <c r="E270" s="52">
        <f t="shared" si="25"/>
        <v>239.2</v>
      </c>
    </row>
    <row r="271" spans="1:5" ht="14.5" x14ac:dyDescent="0.35">
      <c r="A271" s="48" t="s">
        <v>299</v>
      </c>
      <c r="B271" s="49" t="s">
        <v>293</v>
      </c>
      <c r="C271" s="20">
        <v>416</v>
      </c>
      <c r="D271" s="51">
        <v>4</v>
      </c>
      <c r="E271" s="52">
        <f t="shared" si="25"/>
        <v>1664</v>
      </c>
    </row>
    <row r="272" spans="1:5" ht="14.5" x14ac:dyDescent="0.35">
      <c r="A272" s="116" t="s">
        <v>300</v>
      </c>
      <c r="B272" s="117"/>
      <c r="C272" s="117"/>
      <c r="D272" s="117"/>
      <c r="E272" s="118"/>
    </row>
    <row r="273" spans="1:5" ht="14.5" x14ac:dyDescent="0.35">
      <c r="A273" s="48" t="s">
        <v>301</v>
      </c>
      <c r="B273" s="49" t="s">
        <v>296</v>
      </c>
      <c r="C273" s="20">
        <v>93.6</v>
      </c>
      <c r="D273" s="51">
        <v>1</v>
      </c>
      <c r="E273" s="52">
        <f>C273*D273</f>
        <v>93.6</v>
      </c>
    </row>
    <row r="274" spans="1:5" ht="14.5" x14ac:dyDescent="0.35">
      <c r="A274" s="48" t="s">
        <v>302</v>
      </c>
      <c r="B274" s="49" t="s">
        <v>303</v>
      </c>
      <c r="C274" s="20">
        <v>135.19999999999999</v>
      </c>
      <c r="D274" s="51">
        <v>1</v>
      </c>
      <c r="E274" s="52">
        <f t="shared" ref="E274:E276" si="26">C274*D274</f>
        <v>135.19999999999999</v>
      </c>
    </row>
    <row r="275" spans="1:5" ht="14.5" x14ac:dyDescent="0.35">
      <c r="A275" s="48" t="s">
        <v>304</v>
      </c>
      <c r="B275" s="49" t="s">
        <v>291</v>
      </c>
      <c r="C275" s="20">
        <v>260</v>
      </c>
      <c r="D275" s="51">
        <v>10</v>
      </c>
      <c r="E275" s="52">
        <f t="shared" si="26"/>
        <v>2600</v>
      </c>
    </row>
    <row r="276" spans="1:5" ht="14.5" x14ac:dyDescent="0.35">
      <c r="A276" s="48" t="s">
        <v>305</v>
      </c>
      <c r="B276" s="49" t="s">
        <v>293</v>
      </c>
      <c r="C276" s="20">
        <v>364</v>
      </c>
      <c r="D276" s="51">
        <v>15</v>
      </c>
      <c r="E276" s="52">
        <f t="shared" si="26"/>
        <v>5460</v>
      </c>
    </row>
    <row r="277" spans="1:5" ht="14.5" x14ac:dyDescent="0.35">
      <c r="A277" s="116" t="s">
        <v>306</v>
      </c>
      <c r="B277" s="117"/>
      <c r="C277" s="117"/>
      <c r="D277" s="117"/>
      <c r="E277" s="118"/>
    </row>
    <row r="278" spans="1:5" ht="43.9" customHeight="1" x14ac:dyDescent="0.35">
      <c r="A278" s="48" t="s">
        <v>307</v>
      </c>
      <c r="B278" s="49" t="s">
        <v>308</v>
      </c>
      <c r="C278" s="20">
        <v>208</v>
      </c>
      <c r="D278" s="51">
        <v>1</v>
      </c>
      <c r="E278" s="52">
        <f>C278*D278</f>
        <v>208</v>
      </c>
    </row>
    <row r="279" spans="1:5" ht="30.65" customHeight="1" x14ac:dyDescent="0.35">
      <c r="A279" s="116" t="s">
        <v>309</v>
      </c>
      <c r="B279" s="117"/>
      <c r="C279" s="117"/>
      <c r="D279" s="117"/>
      <c r="E279" s="118"/>
    </row>
    <row r="280" spans="1:5" ht="14.5" x14ac:dyDescent="0.35">
      <c r="A280" s="48" t="s">
        <v>310</v>
      </c>
      <c r="B280" s="49" t="s">
        <v>226</v>
      </c>
      <c r="C280" s="20">
        <v>239.2</v>
      </c>
      <c r="D280" s="51">
        <v>1</v>
      </c>
      <c r="E280" s="52">
        <f>C280*D280</f>
        <v>239.2</v>
      </c>
    </row>
    <row r="281" spans="1:5" ht="14.5" x14ac:dyDescent="0.35">
      <c r="A281" s="48" t="s">
        <v>311</v>
      </c>
      <c r="B281" s="49" t="s">
        <v>270</v>
      </c>
      <c r="C281" s="20">
        <v>447.2</v>
      </c>
      <c r="D281" s="51">
        <v>1</v>
      </c>
      <c r="E281" s="52">
        <f t="shared" ref="E281:E283" si="27">C281*D281</f>
        <v>447.2</v>
      </c>
    </row>
    <row r="282" spans="1:5" ht="14.5" x14ac:dyDescent="0.35">
      <c r="A282" s="48" t="s">
        <v>312</v>
      </c>
      <c r="B282" s="49" t="s">
        <v>272</v>
      </c>
      <c r="C282" s="20">
        <v>863.2</v>
      </c>
      <c r="D282" s="51">
        <v>1</v>
      </c>
      <c r="E282" s="52">
        <f t="shared" si="27"/>
        <v>863.2</v>
      </c>
    </row>
    <row r="283" spans="1:5" ht="14.5" x14ac:dyDescent="0.35">
      <c r="A283" s="48" t="s">
        <v>313</v>
      </c>
      <c r="B283" s="49" t="s">
        <v>232</v>
      </c>
      <c r="C283" s="20">
        <v>1352</v>
      </c>
      <c r="D283" s="51">
        <v>1</v>
      </c>
      <c r="E283" s="52">
        <f t="shared" si="27"/>
        <v>1352</v>
      </c>
    </row>
    <row r="284" spans="1:5" ht="14.5" x14ac:dyDescent="0.35">
      <c r="A284" s="116" t="s">
        <v>314</v>
      </c>
      <c r="B284" s="117"/>
      <c r="C284" s="117"/>
      <c r="D284" s="117"/>
      <c r="E284" s="118"/>
    </row>
    <row r="285" spans="1:5" ht="14.5" x14ac:dyDescent="0.35">
      <c r="A285" s="48" t="s">
        <v>315</v>
      </c>
      <c r="B285" s="49" t="s">
        <v>242</v>
      </c>
      <c r="C285" s="20">
        <v>67.599999999999994</v>
      </c>
      <c r="D285" s="51">
        <v>1</v>
      </c>
      <c r="E285" s="52">
        <f>C285*D285</f>
        <v>67.599999999999994</v>
      </c>
    </row>
    <row r="286" spans="1:5" ht="14.5" x14ac:dyDescent="0.35">
      <c r="A286" s="48" t="s">
        <v>316</v>
      </c>
      <c r="B286" s="49" t="s">
        <v>244</v>
      </c>
      <c r="C286" s="20">
        <v>78</v>
      </c>
      <c r="D286" s="51">
        <v>1</v>
      </c>
      <c r="E286" s="52">
        <f t="shared" ref="E286:E291" si="28">C286*D286</f>
        <v>78</v>
      </c>
    </row>
    <row r="287" spans="1:5" ht="14.5" x14ac:dyDescent="0.35">
      <c r="A287" s="48" t="s">
        <v>317</v>
      </c>
      <c r="B287" s="49" t="s">
        <v>246</v>
      </c>
      <c r="C287" s="20">
        <v>98.8</v>
      </c>
      <c r="D287" s="51">
        <v>1</v>
      </c>
      <c r="E287" s="52">
        <f t="shared" si="28"/>
        <v>98.8</v>
      </c>
    </row>
    <row r="288" spans="1:5" ht="14.5" x14ac:dyDescent="0.35">
      <c r="A288" s="48" t="s">
        <v>318</v>
      </c>
      <c r="B288" s="49" t="s">
        <v>248</v>
      </c>
      <c r="C288" s="20">
        <v>140.4</v>
      </c>
      <c r="D288" s="51">
        <v>1</v>
      </c>
      <c r="E288" s="52">
        <f t="shared" si="28"/>
        <v>140.4</v>
      </c>
    </row>
    <row r="289" spans="1:5" ht="14.5" x14ac:dyDescent="0.35">
      <c r="A289" s="48" t="s">
        <v>319</v>
      </c>
      <c r="B289" s="49" t="s">
        <v>250</v>
      </c>
      <c r="C289" s="20">
        <v>192.4</v>
      </c>
      <c r="D289" s="51">
        <v>1</v>
      </c>
      <c r="E289" s="52">
        <f t="shared" si="28"/>
        <v>192.4</v>
      </c>
    </row>
    <row r="290" spans="1:5" ht="14.5" x14ac:dyDescent="0.35">
      <c r="A290" s="48" t="s">
        <v>320</v>
      </c>
      <c r="B290" s="49" t="s">
        <v>252</v>
      </c>
      <c r="C290" s="20">
        <v>265.2</v>
      </c>
      <c r="D290" s="51">
        <v>1</v>
      </c>
      <c r="E290" s="52">
        <f t="shared" si="28"/>
        <v>265.2</v>
      </c>
    </row>
    <row r="291" spans="1:5" ht="37.9" customHeight="1" x14ac:dyDescent="0.35">
      <c r="A291" s="48" t="s">
        <v>321</v>
      </c>
      <c r="B291" s="49" t="s">
        <v>254</v>
      </c>
      <c r="C291" s="20">
        <v>312</v>
      </c>
      <c r="D291" s="51">
        <v>1</v>
      </c>
      <c r="E291" s="52">
        <f t="shared" si="28"/>
        <v>312</v>
      </c>
    </row>
    <row r="292" spans="1:5" ht="14.5" x14ac:dyDescent="0.35">
      <c r="A292" s="125" t="s">
        <v>322</v>
      </c>
      <c r="B292" s="126"/>
      <c r="C292" s="126"/>
      <c r="D292" s="126"/>
      <c r="E292" s="127"/>
    </row>
    <row r="293" spans="1:5" ht="30" customHeight="1" x14ac:dyDescent="0.35">
      <c r="A293" s="125" t="s">
        <v>384</v>
      </c>
      <c r="B293" s="126"/>
      <c r="C293" s="126"/>
      <c r="D293" s="126"/>
      <c r="E293" s="127"/>
    </row>
    <row r="294" spans="1:5" ht="14.5" x14ac:dyDescent="0.35">
      <c r="A294" s="48" t="s">
        <v>324</v>
      </c>
      <c r="B294" s="49" t="s">
        <v>325</v>
      </c>
      <c r="C294" s="20">
        <v>21.900000000000002</v>
      </c>
      <c r="D294" s="51">
        <v>15312</v>
      </c>
      <c r="E294" s="52">
        <f>C294*D294</f>
        <v>335332.80000000005</v>
      </c>
    </row>
    <row r="295" spans="1:5" ht="14.5" x14ac:dyDescent="0.35">
      <c r="A295" s="48" t="s">
        <v>326</v>
      </c>
      <c r="B295" s="49" t="s">
        <v>327</v>
      </c>
      <c r="C295" s="20">
        <v>21.900000000000002</v>
      </c>
      <c r="D295" s="51">
        <v>388</v>
      </c>
      <c r="E295" s="52">
        <f t="shared" ref="E295:E297" si="29">C295*D295</f>
        <v>8497.2000000000007</v>
      </c>
    </row>
    <row r="296" spans="1:5" ht="14.5" x14ac:dyDescent="0.35">
      <c r="A296" s="48" t="s">
        <v>328</v>
      </c>
      <c r="B296" s="49" t="s">
        <v>329</v>
      </c>
      <c r="C296" s="20">
        <v>20.8</v>
      </c>
      <c r="D296" s="51">
        <v>2340</v>
      </c>
      <c r="E296" s="52">
        <f t="shared" si="29"/>
        <v>48672</v>
      </c>
    </row>
    <row r="297" spans="1:5" ht="14.5" x14ac:dyDescent="0.35">
      <c r="A297" s="48" t="s">
        <v>330</v>
      </c>
      <c r="B297" s="49" t="s">
        <v>331</v>
      </c>
      <c r="C297" s="20">
        <v>20.8</v>
      </c>
      <c r="D297" s="51">
        <v>3360</v>
      </c>
      <c r="E297" s="52">
        <f t="shared" si="29"/>
        <v>69888</v>
      </c>
    </row>
    <row r="298" spans="1:5" ht="14.5" x14ac:dyDescent="0.35">
      <c r="A298" s="116" t="s">
        <v>332</v>
      </c>
      <c r="B298" s="117"/>
      <c r="C298" s="117"/>
      <c r="D298" s="117"/>
      <c r="E298" s="118"/>
    </row>
    <row r="299" spans="1:5" ht="14.5" x14ac:dyDescent="0.35">
      <c r="A299" s="48" t="s">
        <v>333</v>
      </c>
      <c r="B299" s="49" t="s">
        <v>334</v>
      </c>
      <c r="C299" s="20">
        <v>280.8</v>
      </c>
      <c r="D299" s="51">
        <v>1</v>
      </c>
      <c r="E299" s="52">
        <f>C299*D299</f>
        <v>280.8</v>
      </c>
    </row>
    <row r="300" spans="1:5" ht="14.5" x14ac:dyDescent="0.35">
      <c r="A300" s="116" t="s">
        <v>335</v>
      </c>
      <c r="B300" s="117"/>
      <c r="C300" s="117"/>
      <c r="D300" s="117"/>
      <c r="E300" s="118"/>
    </row>
    <row r="301" spans="1:5" ht="33" customHeight="1" x14ac:dyDescent="0.35">
      <c r="A301" s="116" t="s">
        <v>385</v>
      </c>
      <c r="B301" s="128"/>
      <c r="C301" s="128"/>
      <c r="D301" s="128"/>
      <c r="E301" s="129"/>
    </row>
    <row r="302" spans="1:5" ht="42" customHeight="1" x14ac:dyDescent="0.35">
      <c r="A302" s="48" t="s">
        <v>336</v>
      </c>
      <c r="B302" s="49" t="s">
        <v>337</v>
      </c>
      <c r="C302" s="20">
        <v>62.4</v>
      </c>
      <c r="D302" s="51">
        <v>40</v>
      </c>
      <c r="E302" s="52">
        <f>C302*D302</f>
        <v>2496</v>
      </c>
    </row>
    <row r="303" spans="1:5" ht="14.5" x14ac:dyDescent="0.35">
      <c r="A303" s="48" t="s">
        <v>338</v>
      </c>
      <c r="B303" s="49" t="s">
        <v>339</v>
      </c>
      <c r="C303" s="20">
        <v>59.300000000000004</v>
      </c>
      <c r="D303" s="51">
        <v>1</v>
      </c>
      <c r="E303" s="52">
        <f t="shared" ref="E303:E304" si="30">C303*D303</f>
        <v>59.300000000000004</v>
      </c>
    </row>
    <row r="304" spans="1:5" ht="14.5" x14ac:dyDescent="0.35">
      <c r="A304" s="48" t="s">
        <v>340</v>
      </c>
      <c r="B304" s="49" t="s">
        <v>341</v>
      </c>
      <c r="C304" s="20">
        <v>57.2</v>
      </c>
      <c r="D304" s="51">
        <v>1</v>
      </c>
      <c r="E304" s="52">
        <f t="shared" si="30"/>
        <v>57.2</v>
      </c>
    </row>
    <row r="305" spans="1:5" ht="14.5" x14ac:dyDescent="0.35">
      <c r="A305" s="116" t="s">
        <v>342</v>
      </c>
      <c r="B305" s="117"/>
      <c r="C305" s="117"/>
      <c r="D305" s="117"/>
      <c r="E305" s="118"/>
    </row>
    <row r="306" spans="1:5" ht="29" x14ac:dyDescent="0.35">
      <c r="A306" s="48" t="s">
        <v>343</v>
      </c>
      <c r="B306" s="49" t="s">
        <v>344</v>
      </c>
      <c r="C306" s="20">
        <v>832</v>
      </c>
      <c r="D306" s="51">
        <v>4</v>
      </c>
      <c r="E306" s="52">
        <f>C306*D306</f>
        <v>3328</v>
      </c>
    </row>
    <row r="307" spans="1:5" ht="29" x14ac:dyDescent="0.35">
      <c r="A307" s="48" t="s">
        <v>345</v>
      </c>
      <c r="B307" s="49" t="s">
        <v>346</v>
      </c>
      <c r="C307" s="20">
        <v>1560</v>
      </c>
      <c r="D307" s="51">
        <v>1</v>
      </c>
      <c r="E307" s="52">
        <f>C307*D307</f>
        <v>1560</v>
      </c>
    </row>
    <row r="308" spans="1:5" ht="14.5" x14ac:dyDescent="0.35">
      <c r="A308" s="125" t="s">
        <v>347</v>
      </c>
      <c r="B308" s="126"/>
      <c r="C308" s="126"/>
      <c r="D308" s="126"/>
      <c r="E308" s="127"/>
    </row>
    <row r="309" spans="1:5" ht="14.5" x14ac:dyDescent="0.35">
      <c r="A309" s="116" t="s">
        <v>348</v>
      </c>
      <c r="B309" s="117"/>
      <c r="C309" s="117"/>
      <c r="D309" s="117"/>
      <c r="E309" s="118"/>
    </row>
    <row r="310" spans="1:5" ht="14.5" x14ac:dyDescent="0.35">
      <c r="A310" s="48" t="s">
        <v>349</v>
      </c>
      <c r="B310" s="49" t="s">
        <v>11</v>
      </c>
      <c r="C310" s="20">
        <v>17.700000000000003</v>
      </c>
      <c r="D310" s="51">
        <v>116</v>
      </c>
      <c r="E310" s="52">
        <f>C310*D310</f>
        <v>2053.2000000000003</v>
      </c>
    </row>
    <row r="311" spans="1:5" ht="14.5" x14ac:dyDescent="0.35">
      <c r="A311" s="48" t="s">
        <v>350</v>
      </c>
      <c r="B311" s="49" t="s">
        <v>13</v>
      </c>
      <c r="C311" s="20">
        <v>21.900000000000002</v>
      </c>
      <c r="D311" s="51">
        <v>116</v>
      </c>
      <c r="E311" s="52">
        <f t="shared" ref="E311:E314" si="31">C311*D311</f>
        <v>2540.4</v>
      </c>
    </row>
    <row r="312" spans="1:5" ht="14.5" x14ac:dyDescent="0.35">
      <c r="A312" s="48" t="s">
        <v>351</v>
      </c>
      <c r="B312" s="49" t="s">
        <v>15</v>
      </c>
      <c r="C312" s="20">
        <v>24</v>
      </c>
      <c r="D312" s="51">
        <v>116</v>
      </c>
      <c r="E312" s="52">
        <f t="shared" si="31"/>
        <v>2784</v>
      </c>
    </row>
    <row r="313" spans="1:5" ht="14.5" x14ac:dyDescent="0.35">
      <c r="A313" s="48" t="s">
        <v>352</v>
      </c>
      <c r="B313" s="49" t="s">
        <v>17</v>
      </c>
      <c r="C313" s="20">
        <v>27.1</v>
      </c>
      <c r="D313" s="51">
        <v>116</v>
      </c>
      <c r="E313" s="52">
        <f t="shared" si="31"/>
        <v>3143.6000000000004</v>
      </c>
    </row>
    <row r="314" spans="1:5" ht="39.65" customHeight="1" x14ac:dyDescent="0.35">
      <c r="A314" s="48" t="s">
        <v>353</v>
      </c>
      <c r="B314" s="49" t="s">
        <v>19</v>
      </c>
      <c r="C314" s="20">
        <v>30.200000000000003</v>
      </c>
      <c r="D314" s="51">
        <v>116</v>
      </c>
      <c r="E314" s="52">
        <f t="shared" si="31"/>
        <v>3503.2000000000003</v>
      </c>
    </row>
    <row r="315" spans="1:5" ht="14.5" x14ac:dyDescent="0.35">
      <c r="A315" s="116" t="s">
        <v>354</v>
      </c>
      <c r="B315" s="117"/>
      <c r="C315" s="117"/>
      <c r="D315" s="117"/>
      <c r="E315" s="118"/>
    </row>
    <row r="316" spans="1:5" ht="14.5" x14ac:dyDescent="0.35">
      <c r="A316" s="48" t="s">
        <v>355</v>
      </c>
      <c r="B316" s="49" t="s">
        <v>356</v>
      </c>
      <c r="C316" s="20">
        <v>26</v>
      </c>
      <c r="D316" s="51">
        <v>24</v>
      </c>
      <c r="E316" s="52">
        <f>C316*D316</f>
        <v>624</v>
      </c>
    </row>
    <row r="317" spans="1:5" ht="14.5" x14ac:dyDescent="0.35">
      <c r="A317" s="48" t="s">
        <v>357</v>
      </c>
      <c r="B317" s="49" t="s">
        <v>358</v>
      </c>
      <c r="C317" s="20">
        <v>31.2</v>
      </c>
      <c r="D317" s="51">
        <v>24</v>
      </c>
      <c r="E317" s="52">
        <f t="shared" ref="E317:E326" si="32">C317*D317</f>
        <v>748.8</v>
      </c>
    </row>
    <row r="318" spans="1:5" ht="14.5" x14ac:dyDescent="0.35">
      <c r="A318" s="48" t="s">
        <v>359</v>
      </c>
      <c r="B318" s="49" t="s">
        <v>360</v>
      </c>
      <c r="C318" s="20">
        <v>36.4</v>
      </c>
      <c r="D318" s="51">
        <v>16</v>
      </c>
      <c r="E318" s="52">
        <f t="shared" si="32"/>
        <v>582.4</v>
      </c>
    </row>
    <row r="319" spans="1:5" ht="14.5" x14ac:dyDescent="0.35">
      <c r="A319" s="48" t="s">
        <v>361</v>
      </c>
      <c r="B319" s="49" t="s">
        <v>362</v>
      </c>
      <c r="C319" s="20">
        <v>26</v>
      </c>
      <c r="D319" s="51">
        <v>8</v>
      </c>
      <c r="E319" s="52">
        <f t="shared" si="32"/>
        <v>208</v>
      </c>
    </row>
    <row r="320" spans="1:5" ht="14.5" x14ac:dyDescent="0.35">
      <c r="A320" s="48" t="s">
        <v>363</v>
      </c>
      <c r="B320" s="49" t="s">
        <v>364</v>
      </c>
      <c r="C320" s="20">
        <v>46.8</v>
      </c>
      <c r="D320" s="51">
        <v>4</v>
      </c>
      <c r="E320" s="52">
        <f t="shared" si="32"/>
        <v>187.2</v>
      </c>
    </row>
    <row r="321" spans="1:5" ht="14.5" x14ac:dyDescent="0.35">
      <c r="A321" s="48" t="s">
        <v>365</v>
      </c>
      <c r="B321" s="49" t="s">
        <v>366</v>
      </c>
      <c r="C321" s="20">
        <v>26</v>
      </c>
      <c r="D321" s="51">
        <v>4</v>
      </c>
      <c r="E321" s="52">
        <f t="shared" si="32"/>
        <v>104</v>
      </c>
    </row>
    <row r="322" spans="1:5" ht="14.5" x14ac:dyDescent="0.35">
      <c r="A322" s="48" t="s">
        <v>367</v>
      </c>
      <c r="B322" s="49" t="s">
        <v>368</v>
      </c>
      <c r="C322" s="20">
        <v>46.8</v>
      </c>
      <c r="D322" s="51">
        <v>4</v>
      </c>
      <c r="E322" s="52">
        <f t="shared" si="32"/>
        <v>187.2</v>
      </c>
    </row>
    <row r="323" spans="1:5" ht="14.5" x14ac:dyDescent="0.35">
      <c r="A323" s="48" t="s">
        <v>369</v>
      </c>
      <c r="B323" s="49" t="s">
        <v>370</v>
      </c>
      <c r="C323" s="20">
        <v>26</v>
      </c>
      <c r="D323" s="51">
        <v>8</v>
      </c>
      <c r="E323" s="52">
        <f t="shared" si="32"/>
        <v>208</v>
      </c>
    </row>
    <row r="324" spans="1:5" ht="14.5" x14ac:dyDescent="0.35">
      <c r="A324" s="48" t="s">
        <v>371</v>
      </c>
      <c r="B324" s="49" t="s">
        <v>372</v>
      </c>
      <c r="C324" s="20">
        <v>46.8</v>
      </c>
      <c r="D324" s="51">
        <v>4</v>
      </c>
      <c r="E324" s="52">
        <f t="shared" si="32"/>
        <v>187.2</v>
      </c>
    </row>
    <row r="325" spans="1:5" ht="14.5" x14ac:dyDescent="0.35">
      <c r="A325" s="48" t="s">
        <v>373</v>
      </c>
      <c r="B325" s="49" t="s">
        <v>374</v>
      </c>
      <c r="C325" s="20">
        <v>52</v>
      </c>
      <c r="D325" s="51">
        <v>8</v>
      </c>
      <c r="E325" s="52">
        <f t="shared" si="32"/>
        <v>416</v>
      </c>
    </row>
    <row r="326" spans="1:5" ht="14.5" x14ac:dyDescent="0.35">
      <c r="A326" s="48" t="s">
        <v>375</v>
      </c>
      <c r="B326" s="49" t="s">
        <v>376</v>
      </c>
      <c r="C326" s="20">
        <v>62.4</v>
      </c>
      <c r="D326" s="51">
        <v>4</v>
      </c>
      <c r="E326" s="52">
        <f t="shared" si="32"/>
        <v>249.6</v>
      </c>
    </row>
    <row r="327" spans="1:5" ht="23.5" x14ac:dyDescent="0.55000000000000004">
      <c r="A327" s="55" t="s">
        <v>377</v>
      </c>
      <c r="B327" s="56"/>
      <c r="C327" s="57"/>
      <c r="D327" s="58"/>
      <c r="E327" s="59"/>
    </row>
    <row r="328" spans="1:5" ht="14.5" x14ac:dyDescent="0.35">
      <c r="A328" s="116" t="s">
        <v>378</v>
      </c>
      <c r="B328" s="117"/>
      <c r="C328" s="117"/>
      <c r="D328" s="117"/>
      <c r="E328" s="118"/>
    </row>
    <row r="329" spans="1:5" ht="14.5" x14ac:dyDescent="0.35">
      <c r="A329" s="116" t="s">
        <v>386</v>
      </c>
      <c r="B329" s="128"/>
      <c r="C329" s="128"/>
      <c r="D329" s="128"/>
      <c r="E329" s="129"/>
    </row>
    <row r="330" spans="1:5" ht="14.5" x14ac:dyDescent="0.35">
      <c r="A330" s="48" t="s">
        <v>380</v>
      </c>
      <c r="B330" s="49" t="s">
        <v>337</v>
      </c>
      <c r="C330" s="20">
        <v>98.8</v>
      </c>
      <c r="D330" s="51">
        <v>50</v>
      </c>
      <c r="E330" s="52">
        <f>C330*D330</f>
        <v>4940</v>
      </c>
    </row>
    <row r="331" spans="1:5" ht="14.5" x14ac:dyDescent="0.35">
      <c r="A331" s="48" t="s">
        <v>381</v>
      </c>
      <c r="B331" s="49" t="s">
        <v>339</v>
      </c>
      <c r="C331" s="20">
        <v>93.6</v>
      </c>
      <c r="D331" s="51">
        <v>10</v>
      </c>
      <c r="E331" s="52">
        <f t="shared" ref="E331:E332" si="33">C331*D331</f>
        <v>936</v>
      </c>
    </row>
    <row r="332" spans="1:5" ht="14.5" x14ac:dyDescent="0.35">
      <c r="A332" s="60" t="s">
        <v>382</v>
      </c>
      <c r="B332" s="61" t="s">
        <v>341</v>
      </c>
      <c r="C332" s="20">
        <v>93.6</v>
      </c>
      <c r="D332" s="62">
        <v>1</v>
      </c>
      <c r="E332" s="52">
        <f t="shared" si="33"/>
        <v>93.6</v>
      </c>
    </row>
    <row r="333" spans="1:5" ht="14.5" x14ac:dyDescent="0.35">
      <c r="A333" s="130" t="s">
        <v>383</v>
      </c>
      <c r="B333" s="130"/>
      <c r="C333" s="130"/>
      <c r="D333" s="130"/>
      <c r="E333" s="63">
        <f>SUM(E16:E332)</f>
        <v>930100.3</v>
      </c>
    </row>
  </sheetData>
  <mergeCells count="71">
    <mergeCell ref="A15:E15"/>
    <mergeCell ref="A1:E1"/>
    <mergeCell ref="A3:E3"/>
    <mergeCell ref="A5:E6"/>
    <mergeCell ref="B14:E14"/>
    <mergeCell ref="A8:E8"/>
    <mergeCell ref="A82:E82"/>
    <mergeCell ref="A22:E22"/>
    <mergeCell ref="A28:E28"/>
    <mergeCell ref="A37:E37"/>
    <mergeCell ref="A43:E43"/>
    <mergeCell ref="B51:E51"/>
    <mergeCell ref="A52:E52"/>
    <mergeCell ref="A59:E59"/>
    <mergeCell ref="B66:E66"/>
    <mergeCell ref="A67:E67"/>
    <mergeCell ref="A74:E74"/>
    <mergeCell ref="B81:E81"/>
    <mergeCell ref="B139:E139"/>
    <mergeCell ref="A89:E89"/>
    <mergeCell ref="B96:E96"/>
    <mergeCell ref="A97:E97"/>
    <mergeCell ref="A104:E104"/>
    <mergeCell ref="B111:E111"/>
    <mergeCell ref="B114:E114"/>
    <mergeCell ref="A115:E115"/>
    <mergeCell ref="A122:E122"/>
    <mergeCell ref="B127:E127"/>
    <mergeCell ref="A128:E128"/>
    <mergeCell ref="A133:E133"/>
    <mergeCell ref="B194:E194"/>
    <mergeCell ref="A140:E140"/>
    <mergeCell ref="A145:E145"/>
    <mergeCell ref="A151:A152"/>
    <mergeCell ref="B151:E152"/>
    <mergeCell ref="A153:E153"/>
    <mergeCell ref="A160:E160"/>
    <mergeCell ref="A167:E167"/>
    <mergeCell ref="B173:E173"/>
    <mergeCell ref="A174:E174"/>
    <mergeCell ref="A181:E181"/>
    <mergeCell ref="A188:E188"/>
    <mergeCell ref="A262:E262"/>
    <mergeCell ref="A195:E195"/>
    <mergeCell ref="A202:E202"/>
    <mergeCell ref="A209:E209"/>
    <mergeCell ref="A216:E216"/>
    <mergeCell ref="A225:E225"/>
    <mergeCell ref="A232:E232"/>
    <mergeCell ref="A243:E243"/>
    <mergeCell ref="A246:E246"/>
    <mergeCell ref="A247:E247"/>
    <mergeCell ref="A252:E252"/>
    <mergeCell ref="A261:E261"/>
    <mergeCell ref="A308:E308"/>
    <mergeCell ref="A267:E267"/>
    <mergeCell ref="A272:E272"/>
    <mergeCell ref="A277:E277"/>
    <mergeCell ref="A279:E279"/>
    <mergeCell ref="A284:E284"/>
    <mergeCell ref="A292:E292"/>
    <mergeCell ref="A293:E293"/>
    <mergeCell ref="A298:E298"/>
    <mergeCell ref="A300:E300"/>
    <mergeCell ref="A301:E301"/>
    <mergeCell ref="A305:E305"/>
    <mergeCell ref="A309:E309"/>
    <mergeCell ref="A315:E315"/>
    <mergeCell ref="A328:E328"/>
    <mergeCell ref="A329:E329"/>
    <mergeCell ref="A333:D33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9" orientation="portrait" r:id="rId1"/>
  <headerFooter>
    <oddHeader>&amp;L&amp;"Times New Roman,Normal"Procédure n°2021-15</oddHeader>
    <oddFooter>&amp;C&amp;"Times New Roman,Normal"&amp;P/&amp;N</oddFooter>
  </headerFooter>
  <rowBreaks count="2" manualBreakCount="2">
    <brk id="65" max="4" man="1"/>
    <brk id="110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F0358-4352-46F1-ABA0-2F105D2C3F1D}">
  <dimension ref="A1:E333"/>
  <sheetViews>
    <sheetView tabSelected="1" topLeftCell="A316" zoomScaleNormal="100" zoomScaleSheetLayoutView="85" workbookViewId="0">
      <selection activeCell="C339" sqref="C339"/>
    </sheetView>
  </sheetViews>
  <sheetFormatPr baseColWidth="10" defaultColWidth="11.453125" defaultRowHeight="14" x14ac:dyDescent="0.35"/>
  <cols>
    <col min="1" max="1" width="10.26953125" style="10" customWidth="1"/>
    <col min="2" max="2" width="40.26953125" style="10" customWidth="1"/>
    <col min="3" max="3" width="16.26953125" style="5" customWidth="1"/>
    <col min="4" max="4" width="16.26953125" style="10" customWidth="1"/>
    <col min="5" max="5" width="16.26953125" style="29" customWidth="1"/>
    <col min="6" max="16384" width="11.453125" style="10"/>
  </cols>
  <sheetData>
    <row r="1" spans="1:5" ht="15" x14ac:dyDescent="0.35">
      <c r="A1" s="67" t="s">
        <v>0</v>
      </c>
      <c r="B1" s="67"/>
      <c r="C1" s="67"/>
      <c r="D1" s="67"/>
      <c r="E1" s="67"/>
    </row>
    <row r="2" spans="1:5" ht="8.5" customHeight="1" x14ac:dyDescent="0.35">
      <c r="A2" s="4"/>
    </row>
    <row r="3" spans="1:5" ht="15" x14ac:dyDescent="0.35">
      <c r="A3" s="67" t="s">
        <v>389</v>
      </c>
      <c r="B3" s="67"/>
      <c r="C3" s="67"/>
      <c r="D3" s="67"/>
      <c r="E3" s="67"/>
    </row>
    <row r="4" spans="1:5" ht="8.5" customHeight="1" x14ac:dyDescent="0.35">
      <c r="A4" s="4"/>
    </row>
    <row r="5" spans="1:5" ht="14.15" customHeight="1" x14ac:dyDescent="0.35">
      <c r="A5" s="68" t="s">
        <v>1</v>
      </c>
      <c r="B5" s="68"/>
      <c r="C5" s="68"/>
      <c r="D5" s="68"/>
      <c r="E5" s="68"/>
    </row>
    <row r="6" spans="1:5" ht="14.15" customHeight="1" x14ac:dyDescent="0.35">
      <c r="A6" s="68"/>
      <c r="B6" s="68"/>
      <c r="C6" s="68"/>
      <c r="D6" s="68"/>
      <c r="E6" s="68"/>
    </row>
    <row r="7" spans="1:5" ht="14.15" customHeight="1" x14ac:dyDescent="0.35">
      <c r="A7" s="64"/>
      <c r="B7" s="65"/>
      <c r="C7" s="65"/>
      <c r="D7" s="65"/>
      <c r="E7" s="65"/>
    </row>
    <row r="8" spans="1:5" ht="63" customHeight="1" x14ac:dyDescent="0.35">
      <c r="A8" s="72" t="s">
        <v>391</v>
      </c>
      <c r="B8" s="72"/>
      <c r="C8" s="72"/>
      <c r="D8" s="72"/>
      <c r="E8" s="72"/>
    </row>
    <row r="9" spans="1:5" ht="14.15" customHeight="1" x14ac:dyDescent="0.35">
      <c r="A9" s="65"/>
      <c r="B9" s="65"/>
      <c r="C9" s="65"/>
      <c r="D9" s="65"/>
      <c r="E9" s="65"/>
    </row>
    <row r="10" spans="1:5" ht="0.65" customHeight="1" x14ac:dyDescent="0.3">
      <c r="A10" s="1"/>
      <c r="B10" s="1"/>
      <c r="C10" s="1"/>
      <c r="D10" s="1"/>
      <c r="E10" s="30"/>
    </row>
    <row r="11" spans="1:5" ht="28.15" customHeight="1" x14ac:dyDescent="0.35">
      <c r="A11" s="2" t="s">
        <v>2</v>
      </c>
      <c r="B11" s="2" t="s">
        <v>3</v>
      </c>
      <c r="C11" s="2" t="s">
        <v>4</v>
      </c>
      <c r="D11" s="3" t="s">
        <v>5</v>
      </c>
      <c r="E11" s="31" t="s">
        <v>6</v>
      </c>
    </row>
    <row r="12" spans="1:5" ht="8.5" customHeight="1" x14ac:dyDescent="0.35">
      <c r="A12" s="5"/>
    </row>
    <row r="13" spans="1:5" ht="8.5" customHeight="1" x14ac:dyDescent="0.35">
      <c r="A13" s="5"/>
      <c r="C13" s="10"/>
    </row>
    <row r="14" spans="1:5" ht="28.5" customHeight="1" x14ac:dyDescent="0.35">
      <c r="A14" s="6" t="s">
        <v>7</v>
      </c>
      <c r="B14" s="69" t="s">
        <v>8</v>
      </c>
      <c r="C14" s="70"/>
      <c r="D14" s="70"/>
      <c r="E14" s="71"/>
    </row>
    <row r="15" spans="1:5" x14ac:dyDescent="0.35">
      <c r="A15" s="66" t="s">
        <v>9</v>
      </c>
      <c r="B15" s="66"/>
      <c r="C15" s="66"/>
      <c r="D15" s="66"/>
      <c r="E15" s="66"/>
    </row>
    <row r="16" spans="1:5" x14ac:dyDescent="0.35">
      <c r="A16" s="6" t="s">
        <v>10</v>
      </c>
      <c r="B16" s="11" t="s">
        <v>11</v>
      </c>
      <c r="C16" s="20">
        <v>49.300000000000004</v>
      </c>
      <c r="D16" s="12">
        <v>1</v>
      </c>
      <c r="E16" s="32">
        <f>C16*D16</f>
        <v>49.300000000000004</v>
      </c>
    </row>
    <row r="17" spans="1:5" x14ac:dyDescent="0.35">
      <c r="A17" s="6" t="s">
        <v>12</v>
      </c>
      <c r="B17" s="11" t="s">
        <v>13</v>
      </c>
      <c r="C17" s="20">
        <v>50.300000000000004</v>
      </c>
      <c r="D17" s="12">
        <v>1</v>
      </c>
      <c r="E17" s="32">
        <f t="shared" ref="E17:E20" si="0">C17*D17</f>
        <v>50.300000000000004</v>
      </c>
    </row>
    <row r="18" spans="1:5" x14ac:dyDescent="0.35">
      <c r="A18" s="6" t="s">
        <v>14</v>
      </c>
      <c r="B18" s="11" t="s">
        <v>15</v>
      </c>
      <c r="C18" s="20">
        <v>57.800000000000004</v>
      </c>
      <c r="D18" s="12">
        <v>2</v>
      </c>
      <c r="E18" s="32">
        <f t="shared" si="0"/>
        <v>115.60000000000001</v>
      </c>
    </row>
    <row r="19" spans="1:5" x14ac:dyDescent="0.35">
      <c r="A19" s="6" t="s">
        <v>16</v>
      </c>
      <c r="B19" s="11" t="s">
        <v>17</v>
      </c>
      <c r="C19" s="20">
        <v>63.2</v>
      </c>
      <c r="D19" s="12">
        <v>2</v>
      </c>
      <c r="E19" s="32">
        <f t="shared" si="0"/>
        <v>126.4</v>
      </c>
    </row>
    <row r="20" spans="1:5" x14ac:dyDescent="0.35">
      <c r="A20" s="6" t="s">
        <v>18</v>
      </c>
      <c r="B20" s="11" t="s">
        <v>19</v>
      </c>
      <c r="C20" s="20">
        <v>66.399999999999991</v>
      </c>
      <c r="D20" s="12">
        <v>2</v>
      </c>
      <c r="E20" s="32">
        <f t="shared" si="0"/>
        <v>132.79999999999998</v>
      </c>
    </row>
    <row r="21" spans="1:5" x14ac:dyDescent="0.35">
      <c r="A21" s="6" t="s">
        <v>20</v>
      </c>
      <c r="B21" s="11" t="s">
        <v>21</v>
      </c>
      <c r="C21" s="20">
        <v>69.599999999999994</v>
      </c>
      <c r="D21" s="12">
        <v>2</v>
      </c>
      <c r="E21" s="32">
        <f>C21*D21</f>
        <v>139.19999999999999</v>
      </c>
    </row>
    <row r="22" spans="1:5" x14ac:dyDescent="0.35">
      <c r="A22" s="74" t="s">
        <v>22</v>
      </c>
      <c r="B22" s="75"/>
      <c r="C22" s="75"/>
      <c r="D22" s="75"/>
      <c r="E22" s="76"/>
    </row>
    <row r="23" spans="1:5" x14ac:dyDescent="0.35">
      <c r="A23" s="6" t="s">
        <v>23</v>
      </c>
      <c r="B23" s="11" t="s">
        <v>11</v>
      </c>
      <c r="C23" s="20">
        <v>35.4</v>
      </c>
      <c r="D23" s="12">
        <v>2</v>
      </c>
      <c r="E23" s="32">
        <f>C23*D23</f>
        <v>70.8</v>
      </c>
    </row>
    <row r="24" spans="1:5" x14ac:dyDescent="0.35">
      <c r="A24" s="6" t="s">
        <v>24</v>
      </c>
      <c r="B24" s="11" t="s">
        <v>13</v>
      </c>
      <c r="C24" s="20">
        <v>37.5</v>
      </c>
      <c r="D24" s="12">
        <v>3</v>
      </c>
      <c r="E24" s="32">
        <f t="shared" ref="E24:E27" si="1">C24*D24</f>
        <v>112.5</v>
      </c>
    </row>
    <row r="25" spans="1:5" x14ac:dyDescent="0.35">
      <c r="A25" s="6" t="s">
        <v>25</v>
      </c>
      <c r="B25" s="11" t="s">
        <v>15</v>
      </c>
      <c r="C25" s="20">
        <v>42.8</v>
      </c>
      <c r="D25" s="12">
        <v>2</v>
      </c>
      <c r="E25" s="32">
        <f t="shared" si="1"/>
        <v>85.6</v>
      </c>
    </row>
    <row r="26" spans="1:5" x14ac:dyDescent="0.35">
      <c r="A26" s="6" t="s">
        <v>26</v>
      </c>
      <c r="B26" s="11" t="s">
        <v>17</v>
      </c>
      <c r="C26" s="20">
        <v>48.2</v>
      </c>
      <c r="D26" s="12">
        <v>3</v>
      </c>
      <c r="E26" s="32">
        <f t="shared" si="1"/>
        <v>144.60000000000002</v>
      </c>
    </row>
    <row r="27" spans="1:5" x14ac:dyDescent="0.35">
      <c r="A27" s="6" t="s">
        <v>27</v>
      </c>
      <c r="B27" s="11" t="s">
        <v>28</v>
      </c>
      <c r="C27" s="20">
        <v>53.5</v>
      </c>
      <c r="D27" s="12">
        <v>2</v>
      </c>
      <c r="E27" s="32">
        <f t="shared" si="1"/>
        <v>107</v>
      </c>
    </row>
    <row r="28" spans="1:5" x14ac:dyDescent="0.35">
      <c r="A28" s="66" t="s">
        <v>29</v>
      </c>
      <c r="B28" s="66"/>
      <c r="C28" s="66"/>
      <c r="D28" s="66"/>
      <c r="E28" s="66"/>
    </row>
    <row r="29" spans="1:5" x14ac:dyDescent="0.35">
      <c r="A29" s="6" t="s">
        <v>30</v>
      </c>
      <c r="B29" s="11" t="s">
        <v>31</v>
      </c>
      <c r="C29" s="20">
        <v>69.599999999999994</v>
      </c>
      <c r="D29" s="12">
        <v>1</v>
      </c>
      <c r="E29" s="32">
        <f>C29*D29</f>
        <v>69.599999999999994</v>
      </c>
    </row>
    <row r="30" spans="1:5" x14ac:dyDescent="0.35">
      <c r="A30" s="6" t="s">
        <v>32</v>
      </c>
      <c r="B30" s="11" t="s">
        <v>33</v>
      </c>
      <c r="C30" s="20">
        <v>112.39999999999999</v>
      </c>
      <c r="D30" s="12">
        <v>2</v>
      </c>
      <c r="E30" s="32">
        <f t="shared" ref="E30:E33" si="2">C30*D30</f>
        <v>224.79999999999998</v>
      </c>
    </row>
    <row r="31" spans="1:5" x14ac:dyDescent="0.35">
      <c r="A31" s="6" t="s">
        <v>34</v>
      </c>
      <c r="B31" s="11" t="s">
        <v>35</v>
      </c>
      <c r="C31" s="20">
        <v>214</v>
      </c>
      <c r="D31" s="12">
        <v>2</v>
      </c>
      <c r="E31" s="32">
        <f t="shared" si="2"/>
        <v>428</v>
      </c>
    </row>
    <row r="32" spans="1:5" x14ac:dyDescent="0.35">
      <c r="A32" s="6" t="s">
        <v>36</v>
      </c>
      <c r="B32" s="11" t="s">
        <v>37</v>
      </c>
      <c r="C32" s="20">
        <v>321</v>
      </c>
      <c r="D32" s="12">
        <v>1</v>
      </c>
      <c r="E32" s="32">
        <f t="shared" si="2"/>
        <v>321</v>
      </c>
    </row>
    <row r="33" spans="1:5" x14ac:dyDescent="0.35">
      <c r="A33" s="6" t="s">
        <v>38</v>
      </c>
      <c r="B33" s="11" t="s">
        <v>39</v>
      </c>
      <c r="C33" s="20">
        <v>588.5</v>
      </c>
      <c r="D33" s="12">
        <v>1</v>
      </c>
      <c r="E33" s="32">
        <f t="shared" si="2"/>
        <v>588.5</v>
      </c>
    </row>
    <row r="34" spans="1:5" ht="8.5" customHeight="1" x14ac:dyDescent="0.35">
      <c r="A34" s="7"/>
      <c r="B34" s="13"/>
      <c r="C34" s="21"/>
      <c r="D34" s="14"/>
      <c r="E34" s="33"/>
    </row>
    <row r="35" spans="1:5" x14ac:dyDescent="0.35">
      <c r="A35" s="6" t="s">
        <v>40</v>
      </c>
      <c r="B35" s="15" t="s">
        <v>41</v>
      </c>
      <c r="C35" s="20">
        <v>37.5</v>
      </c>
      <c r="D35" s="12">
        <v>10</v>
      </c>
      <c r="E35" s="32">
        <f>C35*D35</f>
        <v>375</v>
      </c>
    </row>
    <row r="36" spans="1:5" ht="8.5" customHeight="1" x14ac:dyDescent="0.35">
      <c r="A36" s="8"/>
      <c r="B36" s="16"/>
      <c r="C36" s="8"/>
      <c r="D36" s="17"/>
      <c r="E36" s="34"/>
    </row>
    <row r="37" spans="1:5" ht="27" customHeight="1" x14ac:dyDescent="0.35">
      <c r="A37" s="66" t="s">
        <v>42</v>
      </c>
      <c r="B37" s="66"/>
      <c r="C37" s="66"/>
      <c r="D37" s="66"/>
      <c r="E37" s="66"/>
    </row>
    <row r="38" spans="1:5" ht="22.9" customHeight="1" x14ac:dyDescent="0.35">
      <c r="A38" s="6" t="s">
        <v>43</v>
      </c>
      <c r="B38" s="11" t="s">
        <v>31</v>
      </c>
      <c r="C38" s="20">
        <v>48.2</v>
      </c>
      <c r="D38" s="12">
        <v>1</v>
      </c>
      <c r="E38" s="32">
        <f>C38*D38</f>
        <v>48.2</v>
      </c>
    </row>
    <row r="39" spans="1:5" ht="28.5" customHeight="1" x14ac:dyDescent="0.35">
      <c r="A39" s="6" t="s">
        <v>44</v>
      </c>
      <c r="B39" s="11" t="s">
        <v>33</v>
      </c>
      <c r="C39" s="20">
        <v>107</v>
      </c>
      <c r="D39" s="12">
        <v>2</v>
      </c>
      <c r="E39" s="32">
        <f t="shared" ref="E39:E42" si="3">C39*D39</f>
        <v>214</v>
      </c>
    </row>
    <row r="40" spans="1:5" x14ac:dyDescent="0.35">
      <c r="A40" s="6" t="s">
        <v>45</v>
      </c>
      <c r="B40" s="11" t="s">
        <v>35</v>
      </c>
      <c r="C40" s="20">
        <v>214</v>
      </c>
      <c r="D40" s="12">
        <v>2</v>
      </c>
      <c r="E40" s="32">
        <f t="shared" si="3"/>
        <v>428</v>
      </c>
    </row>
    <row r="41" spans="1:5" x14ac:dyDescent="0.35">
      <c r="A41" s="6" t="s">
        <v>46</v>
      </c>
      <c r="B41" s="11" t="s">
        <v>37</v>
      </c>
      <c r="C41" s="20">
        <v>481.5</v>
      </c>
      <c r="D41" s="12">
        <v>1</v>
      </c>
      <c r="E41" s="32">
        <f t="shared" si="3"/>
        <v>481.5</v>
      </c>
    </row>
    <row r="42" spans="1:5" x14ac:dyDescent="0.35">
      <c r="A42" s="6" t="s">
        <v>47</v>
      </c>
      <c r="B42" s="11" t="s">
        <v>39</v>
      </c>
      <c r="C42" s="20">
        <v>663.4</v>
      </c>
      <c r="D42" s="12">
        <v>1</v>
      </c>
      <c r="E42" s="32">
        <f t="shared" si="3"/>
        <v>663.4</v>
      </c>
    </row>
    <row r="43" spans="1:5" ht="28.15" customHeight="1" x14ac:dyDescent="0.35">
      <c r="A43" s="74" t="s">
        <v>48</v>
      </c>
      <c r="B43" s="75"/>
      <c r="C43" s="75"/>
      <c r="D43" s="75"/>
      <c r="E43" s="76"/>
    </row>
    <row r="44" spans="1:5" x14ac:dyDescent="0.35">
      <c r="A44" s="6" t="s">
        <v>49</v>
      </c>
      <c r="B44" s="11" t="s">
        <v>11</v>
      </c>
      <c r="C44" s="20">
        <v>26.8</v>
      </c>
      <c r="D44" s="12">
        <v>2</v>
      </c>
      <c r="E44" s="32">
        <f>C44*D44</f>
        <v>53.6</v>
      </c>
    </row>
    <row r="45" spans="1:5" x14ac:dyDescent="0.35">
      <c r="A45" s="6" t="s">
        <v>50</v>
      </c>
      <c r="B45" s="11" t="s">
        <v>13</v>
      </c>
      <c r="C45" s="20">
        <v>31.1</v>
      </c>
      <c r="D45" s="12">
        <v>3</v>
      </c>
      <c r="E45" s="32">
        <f t="shared" ref="E45:E48" si="4">C45*D45</f>
        <v>93.300000000000011</v>
      </c>
    </row>
    <row r="46" spans="1:5" x14ac:dyDescent="0.35">
      <c r="A46" s="6" t="s">
        <v>51</v>
      </c>
      <c r="B46" s="11" t="s">
        <v>15</v>
      </c>
      <c r="C46" s="20">
        <v>37.5</v>
      </c>
      <c r="D46" s="12">
        <v>2</v>
      </c>
      <c r="E46" s="32">
        <f t="shared" si="4"/>
        <v>75</v>
      </c>
    </row>
    <row r="47" spans="1:5" x14ac:dyDescent="0.35">
      <c r="A47" s="6" t="s">
        <v>52</v>
      </c>
      <c r="B47" s="11" t="s">
        <v>17</v>
      </c>
      <c r="C47" s="20">
        <v>42.8</v>
      </c>
      <c r="D47" s="12">
        <v>3</v>
      </c>
      <c r="E47" s="32">
        <f t="shared" si="4"/>
        <v>128.39999999999998</v>
      </c>
    </row>
    <row r="48" spans="1:5" x14ac:dyDescent="0.35">
      <c r="A48" s="6" t="s">
        <v>53</v>
      </c>
      <c r="B48" s="11" t="s">
        <v>28</v>
      </c>
      <c r="C48" s="20">
        <v>46.1</v>
      </c>
      <c r="D48" s="12">
        <v>2</v>
      </c>
      <c r="E48" s="32">
        <f t="shared" si="4"/>
        <v>92.2</v>
      </c>
    </row>
    <row r="49" spans="1:5" x14ac:dyDescent="0.35">
      <c r="A49" s="8"/>
      <c r="B49" s="16"/>
      <c r="C49" s="8"/>
      <c r="D49" s="17"/>
      <c r="E49" s="34"/>
    </row>
    <row r="50" spans="1:5" x14ac:dyDescent="0.35">
      <c r="A50" s="8"/>
      <c r="B50" s="16"/>
      <c r="C50" s="8"/>
      <c r="D50" s="17"/>
      <c r="E50" s="34"/>
    </row>
    <row r="51" spans="1:5" x14ac:dyDescent="0.35">
      <c r="A51" s="22" t="s">
        <v>54</v>
      </c>
      <c r="B51" s="77" t="s">
        <v>55</v>
      </c>
      <c r="C51" s="78"/>
      <c r="D51" s="78"/>
      <c r="E51" s="79"/>
    </row>
    <row r="52" spans="1:5" x14ac:dyDescent="0.35">
      <c r="A52" s="80" t="s">
        <v>56</v>
      </c>
      <c r="B52" s="80"/>
      <c r="C52" s="80"/>
      <c r="D52" s="80"/>
      <c r="E52" s="80"/>
    </row>
    <row r="53" spans="1:5" ht="16.5" customHeight="1" x14ac:dyDescent="0.35">
      <c r="A53" s="6" t="s">
        <v>57</v>
      </c>
      <c r="B53" s="11" t="s">
        <v>11</v>
      </c>
      <c r="C53" s="20">
        <v>42.8</v>
      </c>
      <c r="D53" s="12">
        <v>1</v>
      </c>
      <c r="E53" s="32">
        <f>C53*D53</f>
        <v>42.8</v>
      </c>
    </row>
    <row r="54" spans="1:5" ht="28.5" customHeight="1" x14ac:dyDescent="0.35">
      <c r="A54" s="6" t="s">
        <v>58</v>
      </c>
      <c r="B54" s="11" t="s">
        <v>13</v>
      </c>
      <c r="C54" s="20">
        <v>43.9</v>
      </c>
      <c r="D54" s="12">
        <v>2</v>
      </c>
      <c r="E54" s="32">
        <f t="shared" ref="E54:E58" si="5">C54*D54</f>
        <v>87.8</v>
      </c>
    </row>
    <row r="55" spans="1:5" x14ac:dyDescent="0.35">
      <c r="A55" s="6" t="s">
        <v>59</v>
      </c>
      <c r="B55" s="11" t="s">
        <v>15</v>
      </c>
      <c r="C55" s="20">
        <v>45</v>
      </c>
      <c r="D55" s="12">
        <v>4</v>
      </c>
      <c r="E55" s="32">
        <f t="shared" si="5"/>
        <v>180</v>
      </c>
    </row>
    <row r="56" spans="1:5" x14ac:dyDescent="0.35">
      <c r="A56" s="6" t="s">
        <v>60</v>
      </c>
      <c r="B56" s="11" t="s">
        <v>17</v>
      </c>
      <c r="C56" s="20">
        <v>48.2</v>
      </c>
      <c r="D56" s="12">
        <v>7</v>
      </c>
      <c r="E56" s="32">
        <f t="shared" si="5"/>
        <v>337.40000000000003</v>
      </c>
    </row>
    <row r="57" spans="1:5" x14ac:dyDescent="0.35">
      <c r="A57" s="6" t="s">
        <v>61</v>
      </c>
      <c r="B57" s="11" t="s">
        <v>19</v>
      </c>
      <c r="C57" s="20">
        <v>52.5</v>
      </c>
      <c r="D57" s="12">
        <v>4</v>
      </c>
      <c r="E57" s="32">
        <f t="shared" si="5"/>
        <v>210</v>
      </c>
    </row>
    <row r="58" spans="1:5" x14ac:dyDescent="0.35">
      <c r="A58" s="6" t="s">
        <v>62</v>
      </c>
      <c r="B58" s="11" t="s">
        <v>21</v>
      </c>
      <c r="C58" s="20">
        <v>58.9</v>
      </c>
      <c r="D58" s="12">
        <v>2</v>
      </c>
      <c r="E58" s="32">
        <f t="shared" si="5"/>
        <v>117.8</v>
      </c>
    </row>
    <row r="59" spans="1:5" x14ac:dyDescent="0.35">
      <c r="A59" s="80" t="s">
        <v>63</v>
      </c>
      <c r="B59" s="80"/>
      <c r="C59" s="80"/>
      <c r="D59" s="80"/>
      <c r="E59" s="80"/>
    </row>
    <row r="60" spans="1:5" x14ac:dyDescent="0.35">
      <c r="A60" s="6" t="s">
        <v>64</v>
      </c>
      <c r="B60" s="11" t="s">
        <v>11</v>
      </c>
      <c r="C60" s="20">
        <v>32.1</v>
      </c>
      <c r="D60" s="12">
        <v>13</v>
      </c>
      <c r="E60" s="32">
        <f>C60*D60</f>
        <v>417.3</v>
      </c>
    </row>
    <row r="61" spans="1:5" x14ac:dyDescent="0.35">
      <c r="A61" s="6" t="s">
        <v>65</v>
      </c>
      <c r="B61" s="11" t="s">
        <v>13</v>
      </c>
      <c r="C61" s="20">
        <v>37.5</v>
      </c>
      <c r="D61" s="12">
        <v>55</v>
      </c>
      <c r="E61" s="32">
        <f t="shared" ref="E61:E64" si="6">C61*D61</f>
        <v>2062.5</v>
      </c>
    </row>
    <row r="62" spans="1:5" x14ac:dyDescent="0.35">
      <c r="A62" s="6" t="s">
        <v>66</v>
      </c>
      <c r="B62" s="11" t="s">
        <v>15</v>
      </c>
      <c r="C62" s="20">
        <v>38.6</v>
      </c>
      <c r="D62" s="12">
        <v>153</v>
      </c>
      <c r="E62" s="32">
        <f t="shared" si="6"/>
        <v>5905.8</v>
      </c>
    </row>
    <row r="63" spans="1:5" x14ac:dyDescent="0.35">
      <c r="A63" s="6" t="s">
        <v>67</v>
      </c>
      <c r="B63" s="11" t="s">
        <v>17</v>
      </c>
      <c r="C63" s="20">
        <v>39.6</v>
      </c>
      <c r="D63" s="12">
        <v>101</v>
      </c>
      <c r="E63" s="32">
        <f t="shared" si="6"/>
        <v>3999.6000000000004</v>
      </c>
    </row>
    <row r="64" spans="1:5" x14ac:dyDescent="0.35">
      <c r="A64" s="6" t="s">
        <v>68</v>
      </c>
      <c r="B64" s="11" t="s">
        <v>28</v>
      </c>
      <c r="C64" s="20">
        <v>42.8</v>
      </c>
      <c r="D64" s="12">
        <v>17</v>
      </c>
      <c r="E64" s="32">
        <f t="shared" si="6"/>
        <v>727.59999999999991</v>
      </c>
    </row>
    <row r="65" spans="1:5" x14ac:dyDescent="0.35">
      <c r="A65" s="8"/>
      <c r="B65" s="16"/>
      <c r="C65" s="8"/>
      <c r="D65" s="17"/>
      <c r="E65" s="34"/>
    </row>
    <row r="66" spans="1:5" x14ac:dyDescent="0.35">
      <c r="A66" s="22" t="s">
        <v>69</v>
      </c>
      <c r="B66" s="81" t="s">
        <v>70</v>
      </c>
      <c r="C66" s="82"/>
      <c r="D66" s="82"/>
      <c r="E66" s="83"/>
    </row>
    <row r="67" spans="1:5" x14ac:dyDescent="0.35">
      <c r="A67" s="84" t="s">
        <v>56</v>
      </c>
      <c r="B67" s="84"/>
      <c r="C67" s="84"/>
      <c r="D67" s="84"/>
      <c r="E67" s="84"/>
    </row>
    <row r="68" spans="1:5" ht="16.149999999999999" customHeight="1" x14ac:dyDescent="0.35">
      <c r="A68" s="6" t="s">
        <v>71</v>
      </c>
      <c r="B68" s="11" t="s">
        <v>11</v>
      </c>
      <c r="C68" s="20">
        <v>42.8</v>
      </c>
      <c r="D68" s="12">
        <v>1</v>
      </c>
      <c r="E68" s="32">
        <f>C68*D68</f>
        <v>42.8</v>
      </c>
    </row>
    <row r="69" spans="1:5" ht="28.5" customHeight="1" x14ac:dyDescent="0.35">
      <c r="A69" s="6" t="s">
        <v>72</v>
      </c>
      <c r="B69" s="11" t="s">
        <v>13</v>
      </c>
      <c r="C69" s="20">
        <v>43.9</v>
      </c>
      <c r="D69" s="12">
        <v>2</v>
      </c>
      <c r="E69" s="32">
        <f t="shared" ref="E69:E73" si="7">C69*D69</f>
        <v>87.8</v>
      </c>
    </row>
    <row r="70" spans="1:5" x14ac:dyDescent="0.35">
      <c r="A70" s="6" t="s">
        <v>73</v>
      </c>
      <c r="B70" s="11" t="s">
        <v>15</v>
      </c>
      <c r="C70" s="20">
        <v>45</v>
      </c>
      <c r="D70" s="12">
        <v>2</v>
      </c>
      <c r="E70" s="32">
        <f t="shared" si="7"/>
        <v>90</v>
      </c>
    </row>
    <row r="71" spans="1:5" x14ac:dyDescent="0.35">
      <c r="A71" s="6" t="s">
        <v>74</v>
      </c>
      <c r="B71" s="11" t="s">
        <v>17</v>
      </c>
      <c r="C71" s="20">
        <v>53.5</v>
      </c>
      <c r="D71" s="12">
        <v>6</v>
      </c>
      <c r="E71" s="32">
        <f t="shared" si="7"/>
        <v>321</v>
      </c>
    </row>
    <row r="72" spans="1:5" x14ac:dyDescent="0.35">
      <c r="A72" s="6" t="s">
        <v>75</v>
      </c>
      <c r="B72" s="11" t="s">
        <v>19</v>
      </c>
      <c r="C72" s="20">
        <v>58.9</v>
      </c>
      <c r="D72" s="12">
        <v>4</v>
      </c>
      <c r="E72" s="32">
        <f t="shared" si="7"/>
        <v>235.6</v>
      </c>
    </row>
    <row r="73" spans="1:5" x14ac:dyDescent="0.35">
      <c r="A73" s="6" t="s">
        <v>76</v>
      </c>
      <c r="B73" s="11" t="s">
        <v>21</v>
      </c>
      <c r="C73" s="20">
        <v>64.2</v>
      </c>
      <c r="D73" s="12">
        <v>1</v>
      </c>
      <c r="E73" s="32">
        <f t="shared" si="7"/>
        <v>64.2</v>
      </c>
    </row>
    <row r="74" spans="1:5" x14ac:dyDescent="0.35">
      <c r="A74" s="84" t="s">
        <v>63</v>
      </c>
      <c r="B74" s="84"/>
      <c r="C74" s="84"/>
      <c r="D74" s="84"/>
      <c r="E74" s="84"/>
    </row>
    <row r="75" spans="1:5" x14ac:dyDescent="0.35">
      <c r="A75" s="6" t="s">
        <v>77</v>
      </c>
      <c r="B75" s="11" t="s">
        <v>11</v>
      </c>
      <c r="C75" s="20">
        <v>37.5</v>
      </c>
      <c r="D75" s="12">
        <v>2</v>
      </c>
      <c r="E75" s="32">
        <f>C75*D75</f>
        <v>75</v>
      </c>
    </row>
    <row r="76" spans="1:5" x14ac:dyDescent="0.35">
      <c r="A76" s="6" t="s">
        <v>78</v>
      </c>
      <c r="B76" s="11" t="s">
        <v>13</v>
      </c>
      <c r="C76" s="20">
        <v>38.6</v>
      </c>
      <c r="D76" s="12">
        <v>4</v>
      </c>
      <c r="E76" s="32">
        <f t="shared" ref="E76:E79" si="8">C76*D76</f>
        <v>154.4</v>
      </c>
    </row>
    <row r="77" spans="1:5" x14ac:dyDescent="0.35">
      <c r="A77" s="6" t="s">
        <v>79</v>
      </c>
      <c r="B77" s="11" t="s">
        <v>15</v>
      </c>
      <c r="C77" s="20">
        <v>39.6</v>
      </c>
      <c r="D77" s="12">
        <v>6</v>
      </c>
      <c r="E77" s="32">
        <f t="shared" si="8"/>
        <v>237.60000000000002</v>
      </c>
    </row>
    <row r="78" spans="1:5" x14ac:dyDescent="0.35">
      <c r="A78" s="6" t="s">
        <v>80</v>
      </c>
      <c r="B78" s="11" t="s">
        <v>17</v>
      </c>
      <c r="C78" s="20">
        <v>42.8</v>
      </c>
      <c r="D78" s="12">
        <v>6</v>
      </c>
      <c r="E78" s="32">
        <f t="shared" si="8"/>
        <v>256.79999999999995</v>
      </c>
    </row>
    <row r="79" spans="1:5" x14ac:dyDescent="0.35">
      <c r="A79" s="6" t="s">
        <v>81</v>
      </c>
      <c r="B79" s="11" t="s">
        <v>28</v>
      </c>
      <c r="C79" s="20">
        <v>48.2</v>
      </c>
      <c r="D79" s="12">
        <v>3</v>
      </c>
      <c r="E79" s="32">
        <f t="shared" si="8"/>
        <v>144.60000000000002</v>
      </c>
    </row>
    <row r="80" spans="1:5" x14ac:dyDescent="0.35">
      <c r="A80" s="8"/>
      <c r="B80" s="16"/>
      <c r="C80" s="8"/>
      <c r="D80" s="17"/>
      <c r="E80" s="34"/>
    </row>
    <row r="81" spans="1:5" x14ac:dyDescent="0.35">
      <c r="A81" s="6" t="s">
        <v>82</v>
      </c>
      <c r="B81" s="85" t="s">
        <v>83</v>
      </c>
      <c r="C81" s="85"/>
      <c r="D81" s="85"/>
      <c r="E81" s="85"/>
    </row>
    <row r="82" spans="1:5" x14ac:dyDescent="0.35">
      <c r="A82" s="73" t="s">
        <v>56</v>
      </c>
      <c r="B82" s="73"/>
      <c r="C82" s="73"/>
      <c r="D82" s="73"/>
      <c r="E82" s="73"/>
    </row>
    <row r="83" spans="1:5" ht="15.65" customHeight="1" x14ac:dyDescent="0.35">
      <c r="A83" s="6" t="s">
        <v>84</v>
      </c>
      <c r="B83" s="11" t="s">
        <v>11</v>
      </c>
      <c r="C83" s="20">
        <v>32.1</v>
      </c>
      <c r="D83" s="12">
        <v>1</v>
      </c>
      <c r="E83" s="32">
        <f>C83*D83</f>
        <v>32.1</v>
      </c>
    </row>
    <row r="84" spans="1:5" ht="28.5" customHeight="1" x14ac:dyDescent="0.35">
      <c r="A84" s="6" t="s">
        <v>85</v>
      </c>
      <c r="B84" s="11" t="s">
        <v>13</v>
      </c>
      <c r="C84" s="20">
        <v>33.200000000000003</v>
      </c>
      <c r="D84" s="12">
        <v>2</v>
      </c>
      <c r="E84" s="32">
        <f t="shared" ref="E84:E88" si="9">C84*D84</f>
        <v>66.400000000000006</v>
      </c>
    </row>
    <row r="85" spans="1:5" x14ac:dyDescent="0.35">
      <c r="A85" s="6" t="s">
        <v>86</v>
      </c>
      <c r="B85" s="11" t="s">
        <v>15</v>
      </c>
      <c r="C85" s="20">
        <v>34.300000000000004</v>
      </c>
      <c r="D85" s="12">
        <v>4</v>
      </c>
      <c r="E85" s="32">
        <f t="shared" si="9"/>
        <v>137.20000000000002</v>
      </c>
    </row>
    <row r="86" spans="1:5" x14ac:dyDescent="0.35">
      <c r="A86" s="6" t="s">
        <v>87</v>
      </c>
      <c r="B86" s="11" t="s">
        <v>17</v>
      </c>
      <c r="C86" s="20">
        <v>35.4</v>
      </c>
      <c r="D86" s="12">
        <v>8</v>
      </c>
      <c r="E86" s="32">
        <f t="shared" si="9"/>
        <v>283.2</v>
      </c>
    </row>
    <row r="87" spans="1:5" x14ac:dyDescent="0.35">
      <c r="A87" s="6" t="s">
        <v>88</v>
      </c>
      <c r="B87" s="11" t="s">
        <v>19</v>
      </c>
      <c r="C87" s="20">
        <v>36.4</v>
      </c>
      <c r="D87" s="12">
        <v>4</v>
      </c>
      <c r="E87" s="32">
        <f t="shared" si="9"/>
        <v>145.6</v>
      </c>
    </row>
    <row r="88" spans="1:5" x14ac:dyDescent="0.35">
      <c r="A88" s="6" t="s">
        <v>89</v>
      </c>
      <c r="B88" s="11" t="s">
        <v>21</v>
      </c>
      <c r="C88" s="20">
        <v>37.5</v>
      </c>
      <c r="D88" s="12">
        <v>2</v>
      </c>
      <c r="E88" s="32">
        <f t="shared" si="9"/>
        <v>75</v>
      </c>
    </row>
    <row r="89" spans="1:5" x14ac:dyDescent="0.35">
      <c r="A89" s="73" t="s">
        <v>63</v>
      </c>
      <c r="B89" s="73"/>
      <c r="C89" s="73"/>
      <c r="D89" s="73"/>
      <c r="E89" s="73"/>
    </row>
    <row r="90" spans="1:5" x14ac:dyDescent="0.35">
      <c r="A90" s="6" t="s">
        <v>90</v>
      </c>
      <c r="B90" s="11" t="s">
        <v>11</v>
      </c>
      <c r="C90" s="20">
        <v>26.8</v>
      </c>
      <c r="D90" s="12">
        <v>13</v>
      </c>
      <c r="E90" s="32">
        <f>C90*D90</f>
        <v>348.40000000000003</v>
      </c>
    </row>
    <row r="91" spans="1:5" x14ac:dyDescent="0.35">
      <c r="A91" s="6" t="s">
        <v>91</v>
      </c>
      <c r="B91" s="11" t="s">
        <v>13</v>
      </c>
      <c r="C91" s="20">
        <v>27.900000000000002</v>
      </c>
      <c r="D91" s="12">
        <v>55</v>
      </c>
      <c r="E91" s="32">
        <f>C91*D91</f>
        <v>1534.5000000000002</v>
      </c>
    </row>
    <row r="92" spans="1:5" x14ac:dyDescent="0.35">
      <c r="A92" s="6" t="s">
        <v>92</v>
      </c>
      <c r="B92" s="11" t="s">
        <v>15</v>
      </c>
      <c r="C92" s="20">
        <v>28.900000000000002</v>
      </c>
      <c r="D92" s="12">
        <v>153</v>
      </c>
      <c r="E92" s="32">
        <f>C92*D92</f>
        <v>4421.7000000000007</v>
      </c>
    </row>
    <row r="93" spans="1:5" x14ac:dyDescent="0.35">
      <c r="A93" s="6" t="s">
        <v>93</v>
      </c>
      <c r="B93" s="11" t="s">
        <v>17</v>
      </c>
      <c r="C93" s="20">
        <v>30</v>
      </c>
      <c r="D93" s="12">
        <v>101</v>
      </c>
      <c r="E93" s="32">
        <f>C93*D93</f>
        <v>3030</v>
      </c>
    </row>
    <row r="94" spans="1:5" x14ac:dyDescent="0.35">
      <c r="A94" s="6" t="s">
        <v>94</v>
      </c>
      <c r="B94" s="11" t="s">
        <v>28</v>
      </c>
      <c r="C94" s="20">
        <v>31.1</v>
      </c>
      <c r="D94" s="12">
        <v>17</v>
      </c>
      <c r="E94" s="32">
        <f>C94*D94</f>
        <v>528.70000000000005</v>
      </c>
    </row>
    <row r="95" spans="1:5" x14ac:dyDescent="0.35">
      <c r="A95" s="9"/>
      <c r="B95" s="16"/>
      <c r="C95" s="8"/>
      <c r="D95" s="17"/>
      <c r="E95" s="34"/>
    </row>
    <row r="96" spans="1:5" x14ac:dyDescent="0.35">
      <c r="A96" s="6" t="s">
        <v>95</v>
      </c>
      <c r="B96" s="89" t="s">
        <v>96</v>
      </c>
      <c r="C96" s="89"/>
      <c r="D96" s="89"/>
      <c r="E96" s="89"/>
    </row>
    <row r="97" spans="1:5" x14ac:dyDescent="0.35">
      <c r="A97" s="90" t="s">
        <v>56</v>
      </c>
      <c r="B97" s="90"/>
      <c r="C97" s="90"/>
      <c r="D97" s="90"/>
      <c r="E97" s="90"/>
    </row>
    <row r="98" spans="1:5" ht="13.15" customHeight="1" x14ac:dyDescent="0.35">
      <c r="A98" s="6" t="s">
        <v>97</v>
      </c>
      <c r="B98" s="11" t="s">
        <v>11</v>
      </c>
      <c r="C98" s="20">
        <v>37.5</v>
      </c>
      <c r="D98" s="12">
        <v>1</v>
      </c>
      <c r="E98" s="32">
        <f t="shared" ref="E98:E103" si="10">C98*D98</f>
        <v>37.5</v>
      </c>
    </row>
    <row r="99" spans="1:5" ht="28.5" customHeight="1" x14ac:dyDescent="0.35">
      <c r="A99" s="6" t="s">
        <v>98</v>
      </c>
      <c r="B99" s="11" t="s">
        <v>13</v>
      </c>
      <c r="C99" s="20">
        <v>38.6</v>
      </c>
      <c r="D99" s="12">
        <v>2</v>
      </c>
      <c r="E99" s="32">
        <f t="shared" si="10"/>
        <v>77.2</v>
      </c>
    </row>
    <row r="100" spans="1:5" x14ac:dyDescent="0.35">
      <c r="A100" s="6" t="s">
        <v>99</v>
      </c>
      <c r="B100" s="11" t="s">
        <v>15</v>
      </c>
      <c r="C100" s="20">
        <v>39.6</v>
      </c>
      <c r="D100" s="12">
        <v>2</v>
      </c>
      <c r="E100" s="32">
        <f t="shared" si="10"/>
        <v>79.2</v>
      </c>
    </row>
    <row r="101" spans="1:5" ht="22.15" customHeight="1" x14ac:dyDescent="0.35">
      <c r="A101" s="6" t="s">
        <v>100</v>
      </c>
      <c r="B101" s="11" t="s">
        <v>17</v>
      </c>
      <c r="C101" s="20">
        <v>40.700000000000003</v>
      </c>
      <c r="D101" s="12">
        <v>6</v>
      </c>
      <c r="E101" s="32">
        <f t="shared" si="10"/>
        <v>244.20000000000002</v>
      </c>
    </row>
    <row r="102" spans="1:5" ht="28.5" customHeight="1" x14ac:dyDescent="0.35">
      <c r="A102" s="6" t="s">
        <v>101</v>
      </c>
      <c r="B102" s="11" t="s">
        <v>19</v>
      </c>
      <c r="C102" s="20">
        <v>41.800000000000004</v>
      </c>
      <c r="D102" s="12">
        <v>4</v>
      </c>
      <c r="E102" s="32">
        <f t="shared" si="10"/>
        <v>167.20000000000002</v>
      </c>
    </row>
    <row r="103" spans="1:5" x14ac:dyDescent="0.35">
      <c r="A103" s="6" t="s">
        <v>102</v>
      </c>
      <c r="B103" s="11" t="s">
        <v>21</v>
      </c>
      <c r="C103" s="20">
        <v>42.8</v>
      </c>
      <c r="D103" s="12">
        <v>1</v>
      </c>
      <c r="E103" s="32">
        <f t="shared" si="10"/>
        <v>42.8</v>
      </c>
    </row>
    <row r="104" spans="1:5" x14ac:dyDescent="0.35">
      <c r="A104" s="90" t="s">
        <v>63</v>
      </c>
      <c r="B104" s="90"/>
      <c r="C104" s="90"/>
      <c r="D104" s="90"/>
      <c r="E104" s="90"/>
    </row>
    <row r="105" spans="1:5" x14ac:dyDescent="0.35">
      <c r="A105" s="6" t="s">
        <v>103</v>
      </c>
      <c r="B105" s="11" t="s">
        <v>11</v>
      </c>
      <c r="C105" s="20">
        <v>30</v>
      </c>
      <c r="D105" s="12">
        <v>2</v>
      </c>
      <c r="E105" s="32">
        <f>C105*D105</f>
        <v>60</v>
      </c>
    </row>
    <row r="106" spans="1:5" x14ac:dyDescent="0.35">
      <c r="A106" s="6" t="s">
        <v>104</v>
      </c>
      <c r="B106" s="11" t="s">
        <v>13</v>
      </c>
      <c r="C106" s="20">
        <v>31.1</v>
      </c>
      <c r="D106" s="12">
        <v>4</v>
      </c>
      <c r="E106" s="32">
        <f>C106*D106</f>
        <v>124.4</v>
      </c>
    </row>
    <row r="107" spans="1:5" x14ac:dyDescent="0.35">
      <c r="A107" s="6" t="s">
        <v>105</v>
      </c>
      <c r="B107" s="11" t="s">
        <v>15</v>
      </c>
      <c r="C107" s="20">
        <v>32.1</v>
      </c>
      <c r="D107" s="12">
        <v>6</v>
      </c>
      <c r="E107" s="32">
        <f>C107*D107</f>
        <v>192.60000000000002</v>
      </c>
    </row>
    <row r="108" spans="1:5" x14ac:dyDescent="0.35">
      <c r="A108" s="6" t="s">
        <v>106</v>
      </c>
      <c r="B108" s="11" t="s">
        <v>17</v>
      </c>
      <c r="C108" s="20">
        <v>33.200000000000003</v>
      </c>
      <c r="D108" s="12">
        <v>6</v>
      </c>
      <c r="E108" s="32">
        <f>C108*D108</f>
        <v>199.20000000000002</v>
      </c>
    </row>
    <row r="109" spans="1:5" x14ac:dyDescent="0.35">
      <c r="A109" s="6" t="s">
        <v>107</v>
      </c>
      <c r="B109" s="11" t="s">
        <v>28</v>
      </c>
      <c r="C109" s="20">
        <v>34.300000000000004</v>
      </c>
      <c r="D109" s="12">
        <v>3</v>
      </c>
      <c r="E109" s="32">
        <f>C109*D109</f>
        <v>102.9</v>
      </c>
    </row>
    <row r="110" spans="1:5" x14ac:dyDescent="0.35">
      <c r="A110" s="9"/>
      <c r="B110" s="16"/>
      <c r="C110" s="8"/>
      <c r="D110" s="17"/>
      <c r="E110" s="32"/>
    </row>
    <row r="111" spans="1:5" x14ac:dyDescent="0.35">
      <c r="A111" s="6" t="s">
        <v>108</v>
      </c>
      <c r="B111" s="91" t="s">
        <v>109</v>
      </c>
      <c r="C111" s="91"/>
      <c r="D111" s="91"/>
      <c r="E111" s="91"/>
    </row>
    <row r="112" spans="1:5" x14ac:dyDescent="0.35">
      <c r="A112" s="6" t="s">
        <v>110</v>
      </c>
      <c r="B112" s="18" t="s">
        <v>111</v>
      </c>
      <c r="C112" s="20">
        <v>12.9</v>
      </c>
      <c r="D112" s="12">
        <v>360</v>
      </c>
      <c r="E112" s="32">
        <f>C112*D112</f>
        <v>4644</v>
      </c>
    </row>
    <row r="113" spans="1:5" x14ac:dyDescent="0.35">
      <c r="A113" s="9"/>
      <c r="B113" s="16"/>
      <c r="C113" s="8"/>
      <c r="D113" s="17"/>
      <c r="E113" s="34"/>
    </row>
    <row r="114" spans="1:5" ht="19.899999999999999" customHeight="1" x14ac:dyDescent="0.35">
      <c r="A114" s="6" t="s">
        <v>112</v>
      </c>
      <c r="B114" s="92" t="s">
        <v>113</v>
      </c>
      <c r="C114" s="92"/>
      <c r="D114" s="92"/>
      <c r="E114" s="92"/>
    </row>
    <row r="115" spans="1:5" ht="28.5" customHeight="1" x14ac:dyDescent="0.35">
      <c r="A115" s="93" t="s">
        <v>114</v>
      </c>
      <c r="B115" s="93"/>
      <c r="C115" s="93"/>
      <c r="D115" s="93"/>
      <c r="E115" s="93"/>
    </row>
    <row r="116" spans="1:5" x14ac:dyDescent="0.35">
      <c r="A116" s="6" t="s">
        <v>115</v>
      </c>
      <c r="B116" s="11" t="s">
        <v>11</v>
      </c>
      <c r="C116" s="20">
        <v>37.5</v>
      </c>
      <c r="D116" s="12">
        <v>2</v>
      </c>
      <c r="E116" s="32">
        <f t="shared" ref="E116:E121" si="11">C116*D116</f>
        <v>75</v>
      </c>
    </row>
    <row r="117" spans="1:5" x14ac:dyDescent="0.35">
      <c r="A117" s="6" t="s">
        <v>116</v>
      </c>
      <c r="B117" s="11" t="s">
        <v>13</v>
      </c>
      <c r="C117" s="20">
        <v>38.6</v>
      </c>
      <c r="D117" s="12">
        <v>5</v>
      </c>
      <c r="E117" s="32">
        <f t="shared" si="11"/>
        <v>193</v>
      </c>
    </row>
    <row r="118" spans="1:5" x14ac:dyDescent="0.35">
      <c r="A118" s="6" t="s">
        <v>117</v>
      </c>
      <c r="B118" s="11" t="s">
        <v>15</v>
      </c>
      <c r="C118" s="20">
        <v>39.6</v>
      </c>
      <c r="D118" s="12">
        <v>6</v>
      </c>
      <c r="E118" s="32">
        <f t="shared" si="11"/>
        <v>237.60000000000002</v>
      </c>
    </row>
    <row r="119" spans="1:5" x14ac:dyDescent="0.35">
      <c r="A119" s="6" t="s">
        <v>118</v>
      </c>
      <c r="B119" s="11" t="s">
        <v>17</v>
      </c>
      <c r="C119" s="20">
        <v>48.2</v>
      </c>
      <c r="D119" s="12">
        <v>6</v>
      </c>
      <c r="E119" s="32">
        <f t="shared" si="11"/>
        <v>289.20000000000005</v>
      </c>
    </row>
    <row r="120" spans="1:5" x14ac:dyDescent="0.35">
      <c r="A120" s="6" t="s">
        <v>119</v>
      </c>
      <c r="B120" s="11" t="s">
        <v>19</v>
      </c>
      <c r="C120" s="20">
        <v>49.300000000000004</v>
      </c>
      <c r="D120" s="12">
        <v>6</v>
      </c>
      <c r="E120" s="32">
        <f t="shared" si="11"/>
        <v>295.8</v>
      </c>
    </row>
    <row r="121" spans="1:5" x14ac:dyDescent="0.35">
      <c r="A121" s="6" t="s">
        <v>120</v>
      </c>
      <c r="B121" s="11" t="s">
        <v>21</v>
      </c>
      <c r="C121" s="20">
        <v>50.300000000000004</v>
      </c>
      <c r="D121" s="12">
        <v>5</v>
      </c>
      <c r="E121" s="32">
        <f t="shared" si="11"/>
        <v>251.50000000000003</v>
      </c>
    </row>
    <row r="122" spans="1:5" x14ac:dyDescent="0.35">
      <c r="A122" s="93" t="s">
        <v>121</v>
      </c>
      <c r="B122" s="93"/>
      <c r="C122" s="93"/>
      <c r="D122" s="93"/>
      <c r="E122" s="93"/>
    </row>
    <row r="123" spans="1:5" x14ac:dyDescent="0.35">
      <c r="A123" s="6" t="s">
        <v>122</v>
      </c>
      <c r="B123" s="11" t="s">
        <v>123</v>
      </c>
      <c r="C123" s="20">
        <v>69.599999999999994</v>
      </c>
      <c r="D123" s="12">
        <v>4</v>
      </c>
      <c r="E123" s="32">
        <f>C123*D123</f>
        <v>278.39999999999998</v>
      </c>
    </row>
    <row r="124" spans="1:5" x14ac:dyDescent="0.35">
      <c r="A124" s="6" t="s">
        <v>124</v>
      </c>
      <c r="B124" s="11" t="s">
        <v>125</v>
      </c>
      <c r="C124" s="20">
        <v>139.1</v>
      </c>
      <c r="D124" s="12">
        <v>3</v>
      </c>
      <c r="E124" s="32">
        <f>C124*D124</f>
        <v>417.29999999999995</v>
      </c>
    </row>
    <row r="125" spans="1:5" x14ac:dyDescent="0.35">
      <c r="A125" s="6" t="s">
        <v>126</v>
      </c>
      <c r="B125" s="11" t="s">
        <v>127</v>
      </c>
      <c r="C125" s="20">
        <v>214</v>
      </c>
      <c r="D125" s="12">
        <v>1</v>
      </c>
      <c r="E125" s="32">
        <f>C125*D125</f>
        <v>214</v>
      </c>
    </row>
    <row r="126" spans="1:5" ht="8.5" customHeight="1" x14ac:dyDescent="0.35">
      <c r="A126" s="9"/>
      <c r="B126" s="9"/>
      <c r="C126" s="9"/>
      <c r="D126" s="19"/>
      <c r="E126" s="35"/>
    </row>
    <row r="127" spans="1:5" ht="28.5" customHeight="1" x14ac:dyDescent="0.35">
      <c r="A127" s="6" t="s">
        <v>128</v>
      </c>
      <c r="B127" s="94" t="s">
        <v>402</v>
      </c>
      <c r="C127" s="95"/>
      <c r="D127" s="95"/>
      <c r="E127" s="96"/>
    </row>
    <row r="128" spans="1:5" ht="13.9" customHeight="1" x14ac:dyDescent="0.35">
      <c r="A128" s="97" t="s">
        <v>403</v>
      </c>
      <c r="B128" s="98"/>
      <c r="C128" s="98"/>
      <c r="D128" s="98"/>
      <c r="E128" s="99"/>
    </row>
    <row r="129" spans="1:5" x14ac:dyDescent="0.35">
      <c r="A129" s="6" t="s">
        <v>129</v>
      </c>
      <c r="B129" s="11" t="s">
        <v>130</v>
      </c>
      <c r="C129" s="20">
        <v>1016.5</v>
      </c>
      <c r="D129" s="12">
        <v>2</v>
      </c>
      <c r="E129" s="32">
        <f>C129*D129</f>
        <v>2033</v>
      </c>
    </row>
    <row r="130" spans="1:5" x14ac:dyDescent="0.35">
      <c r="A130" s="6" t="s">
        <v>131</v>
      </c>
      <c r="B130" s="11" t="s">
        <v>132</v>
      </c>
      <c r="C130" s="20">
        <v>1605</v>
      </c>
      <c r="D130" s="12">
        <v>3</v>
      </c>
      <c r="E130" s="32">
        <f>C130*D130</f>
        <v>4815</v>
      </c>
    </row>
    <row r="131" spans="1:5" x14ac:dyDescent="0.35">
      <c r="A131" s="6" t="s">
        <v>133</v>
      </c>
      <c r="B131" s="11" t="s">
        <v>134</v>
      </c>
      <c r="C131" s="20">
        <v>2407.5</v>
      </c>
      <c r="D131" s="12">
        <v>5</v>
      </c>
      <c r="E131" s="32">
        <f>C131*D131</f>
        <v>12037.5</v>
      </c>
    </row>
    <row r="132" spans="1:5" x14ac:dyDescent="0.35">
      <c r="A132" s="6" t="s">
        <v>135</v>
      </c>
      <c r="B132" s="11" t="s">
        <v>136</v>
      </c>
      <c r="C132" s="20">
        <v>2621.5</v>
      </c>
      <c r="D132" s="12">
        <v>2</v>
      </c>
      <c r="E132" s="32">
        <f>C132*D132</f>
        <v>5243</v>
      </c>
    </row>
    <row r="133" spans="1:5" ht="13.9" customHeight="1" x14ac:dyDescent="0.35">
      <c r="A133" s="97" t="s">
        <v>404</v>
      </c>
      <c r="B133" s="98"/>
      <c r="C133" s="98"/>
      <c r="D133" s="98"/>
      <c r="E133" s="99"/>
    </row>
    <row r="134" spans="1:5" x14ac:dyDescent="0.35">
      <c r="A134" s="6" t="s">
        <v>138</v>
      </c>
      <c r="B134" s="11" t="s">
        <v>130</v>
      </c>
      <c r="C134" s="20">
        <v>695.5</v>
      </c>
      <c r="D134" s="12">
        <v>1</v>
      </c>
      <c r="E134" s="32">
        <f>C134*D134</f>
        <v>695.5</v>
      </c>
    </row>
    <row r="135" spans="1:5" x14ac:dyDescent="0.35">
      <c r="A135" s="6" t="s">
        <v>139</v>
      </c>
      <c r="B135" s="11" t="s">
        <v>132</v>
      </c>
      <c r="C135" s="20">
        <v>1391</v>
      </c>
      <c r="D135" s="12">
        <v>1</v>
      </c>
      <c r="E135" s="32">
        <f>C135*D135</f>
        <v>1391</v>
      </c>
    </row>
    <row r="136" spans="1:5" x14ac:dyDescent="0.35">
      <c r="A136" s="6" t="s">
        <v>141</v>
      </c>
      <c r="B136" s="11" t="s">
        <v>134</v>
      </c>
      <c r="C136" s="20">
        <v>2033</v>
      </c>
      <c r="D136" s="12">
        <v>1</v>
      </c>
      <c r="E136" s="32">
        <f>C136*D136</f>
        <v>2033</v>
      </c>
    </row>
    <row r="137" spans="1:5" x14ac:dyDescent="0.35">
      <c r="A137" s="6" t="s">
        <v>143</v>
      </c>
      <c r="B137" s="11" t="s">
        <v>136</v>
      </c>
      <c r="C137" s="20">
        <v>2247</v>
      </c>
      <c r="D137" s="12">
        <v>1</v>
      </c>
      <c r="E137" s="32">
        <f>C137*D137</f>
        <v>2247</v>
      </c>
    </row>
    <row r="138" spans="1:5" x14ac:dyDescent="0.35">
      <c r="A138" s="9"/>
      <c r="B138" s="16"/>
      <c r="C138" s="8"/>
      <c r="D138" s="17"/>
      <c r="E138" s="34"/>
    </row>
    <row r="139" spans="1:5" ht="28.5" customHeight="1" x14ac:dyDescent="0.35">
      <c r="A139" s="6" t="s">
        <v>145</v>
      </c>
      <c r="B139" s="86" t="s">
        <v>146</v>
      </c>
      <c r="C139" s="87"/>
      <c r="D139" s="87"/>
      <c r="E139" s="88"/>
    </row>
    <row r="140" spans="1:5" ht="15" customHeight="1" x14ac:dyDescent="0.35">
      <c r="A140" s="103" t="s">
        <v>147</v>
      </c>
      <c r="B140" s="103"/>
      <c r="C140" s="103"/>
      <c r="D140" s="103"/>
      <c r="E140" s="103"/>
    </row>
    <row r="141" spans="1:5" x14ac:dyDescent="0.35">
      <c r="A141" s="6" t="s">
        <v>148</v>
      </c>
      <c r="B141" s="11" t="s">
        <v>149</v>
      </c>
      <c r="C141" s="20">
        <v>128.4</v>
      </c>
      <c r="D141" s="12">
        <v>1</v>
      </c>
      <c r="E141" s="32">
        <f>C141*D141</f>
        <v>128.4</v>
      </c>
    </row>
    <row r="142" spans="1:5" x14ac:dyDescent="0.35">
      <c r="A142" s="6" t="s">
        <v>150</v>
      </c>
      <c r="B142" s="11" t="s">
        <v>33</v>
      </c>
      <c r="C142" s="20">
        <v>139.1</v>
      </c>
      <c r="D142" s="12">
        <v>1</v>
      </c>
      <c r="E142" s="32">
        <f>C142*D142</f>
        <v>139.1</v>
      </c>
    </row>
    <row r="143" spans="1:5" x14ac:dyDescent="0.35">
      <c r="A143" s="6" t="s">
        <v>151</v>
      </c>
      <c r="B143" s="11" t="s">
        <v>35</v>
      </c>
      <c r="C143" s="20">
        <v>149.80000000000001</v>
      </c>
      <c r="D143" s="12">
        <v>1</v>
      </c>
      <c r="E143" s="32">
        <f>C143*D143</f>
        <v>149.80000000000001</v>
      </c>
    </row>
    <row r="144" spans="1:5" x14ac:dyDescent="0.35">
      <c r="A144" s="6" t="s">
        <v>152</v>
      </c>
      <c r="B144" s="11" t="s">
        <v>153</v>
      </c>
      <c r="C144" s="20">
        <v>203.3</v>
      </c>
      <c r="D144" s="12">
        <v>1</v>
      </c>
      <c r="E144" s="32">
        <f>C144*D144</f>
        <v>203.3</v>
      </c>
    </row>
    <row r="145" spans="1:5" x14ac:dyDescent="0.35">
      <c r="A145" s="103" t="s">
        <v>137</v>
      </c>
      <c r="B145" s="103"/>
      <c r="C145" s="103"/>
      <c r="D145" s="103"/>
      <c r="E145" s="103"/>
    </row>
    <row r="146" spans="1:5" x14ac:dyDescent="0.35">
      <c r="A146" s="6" t="s">
        <v>154</v>
      </c>
      <c r="B146" s="11" t="s">
        <v>123</v>
      </c>
      <c r="C146" s="20">
        <v>128.4</v>
      </c>
      <c r="D146" s="12">
        <v>1</v>
      </c>
      <c r="E146" s="32">
        <f>C146*D146</f>
        <v>128.4</v>
      </c>
    </row>
    <row r="147" spans="1:5" ht="30.75" customHeight="1" x14ac:dyDescent="0.35">
      <c r="A147" s="6" t="s">
        <v>155</v>
      </c>
      <c r="B147" s="11" t="s">
        <v>140</v>
      </c>
      <c r="C147" s="20">
        <v>139.1</v>
      </c>
      <c r="D147" s="12">
        <v>1</v>
      </c>
      <c r="E147" s="32">
        <f>C147*D147</f>
        <v>139.1</v>
      </c>
    </row>
    <row r="148" spans="1:5" x14ac:dyDescent="0.35">
      <c r="A148" s="6" t="s">
        <v>156</v>
      </c>
      <c r="B148" s="11" t="s">
        <v>142</v>
      </c>
      <c r="C148" s="20">
        <v>149.80000000000001</v>
      </c>
      <c r="D148" s="12">
        <v>1</v>
      </c>
      <c r="E148" s="32">
        <f>C148*D148</f>
        <v>149.80000000000001</v>
      </c>
    </row>
    <row r="149" spans="1:5" x14ac:dyDescent="0.35">
      <c r="A149" s="6" t="s">
        <v>157</v>
      </c>
      <c r="B149" s="11" t="s">
        <v>144</v>
      </c>
      <c r="C149" s="20">
        <v>203.3</v>
      </c>
      <c r="D149" s="12">
        <v>1</v>
      </c>
      <c r="E149" s="32">
        <f>C149*D149</f>
        <v>203.3</v>
      </c>
    </row>
    <row r="150" spans="1:5" x14ac:dyDescent="0.35">
      <c r="A150" s="9"/>
      <c r="B150" s="16"/>
      <c r="C150" s="8"/>
      <c r="D150" s="17"/>
      <c r="E150" s="34"/>
    </row>
    <row r="151" spans="1:5" x14ac:dyDescent="0.35">
      <c r="A151" s="104" t="s">
        <v>158</v>
      </c>
      <c r="B151" s="106" t="s">
        <v>159</v>
      </c>
      <c r="C151" s="107"/>
      <c r="D151" s="107"/>
      <c r="E151" s="108"/>
    </row>
    <row r="152" spans="1:5" x14ac:dyDescent="0.35">
      <c r="A152" s="105"/>
      <c r="B152" s="109"/>
      <c r="C152" s="110"/>
      <c r="D152" s="110"/>
      <c r="E152" s="111"/>
    </row>
    <row r="153" spans="1:5" x14ac:dyDescent="0.35">
      <c r="A153" s="112" t="s">
        <v>9</v>
      </c>
      <c r="B153" s="112"/>
      <c r="C153" s="112"/>
      <c r="D153" s="112"/>
      <c r="E153" s="112"/>
    </row>
    <row r="154" spans="1:5" x14ac:dyDescent="0.35">
      <c r="A154" s="36" t="s">
        <v>160</v>
      </c>
      <c r="B154" s="27" t="s">
        <v>11</v>
      </c>
      <c r="C154" s="20">
        <v>42.8</v>
      </c>
      <c r="D154" s="12">
        <v>5</v>
      </c>
      <c r="E154" s="32">
        <f t="shared" ref="E154:E159" si="12">C154*D154</f>
        <v>214</v>
      </c>
    </row>
    <row r="155" spans="1:5" x14ac:dyDescent="0.35">
      <c r="A155" s="36" t="s">
        <v>161</v>
      </c>
      <c r="B155" s="11" t="s">
        <v>13</v>
      </c>
      <c r="C155" s="20">
        <v>48.2</v>
      </c>
      <c r="D155" s="12">
        <v>25</v>
      </c>
      <c r="E155" s="32">
        <f t="shared" si="12"/>
        <v>1205</v>
      </c>
    </row>
    <row r="156" spans="1:5" x14ac:dyDescent="0.35">
      <c r="A156" s="36" t="s">
        <v>162</v>
      </c>
      <c r="B156" s="11" t="s">
        <v>15</v>
      </c>
      <c r="C156" s="20">
        <v>53.5</v>
      </c>
      <c r="D156" s="12">
        <v>40</v>
      </c>
      <c r="E156" s="32">
        <f t="shared" si="12"/>
        <v>2140</v>
      </c>
    </row>
    <row r="157" spans="1:5" x14ac:dyDescent="0.35">
      <c r="A157" s="36" t="s">
        <v>163</v>
      </c>
      <c r="B157" s="11" t="s">
        <v>17</v>
      </c>
      <c r="C157" s="20">
        <v>58.9</v>
      </c>
      <c r="D157" s="12">
        <v>40</v>
      </c>
      <c r="E157" s="32">
        <f t="shared" si="12"/>
        <v>2356</v>
      </c>
    </row>
    <row r="158" spans="1:5" x14ac:dyDescent="0.35">
      <c r="A158" s="36" t="s">
        <v>164</v>
      </c>
      <c r="B158" s="11" t="s">
        <v>19</v>
      </c>
      <c r="C158" s="20">
        <v>64.2</v>
      </c>
      <c r="D158" s="12">
        <v>20</v>
      </c>
      <c r="E158" s="32">
        <f t="shared" si="12"/>
        <v>1284</v>
      </c>
    </row>
    <row r="159" spans="1:5" x14ac:dyDescent="0.35">
      <c r="A159" s="36" t="s">
        <v>165</v>
      </c>
      <c r="B159" s="24" t="s">
        <v>21</v>
      </c>
      <c r="C159" s="20">
        <v>69.599999999999994</v>
      </c>
      <c r="D159" s="12">
        <v>20</v>
      </c>
      <c r="E159" s="32">
        <f t="shared" si="12"/>
        <v>1392</v>
      </c>
    </row>
    <row r="160" spans="1:5" x14ac:dyDescent="0.35">
      <c r="A160" s="113" t="s">
        <v>166</v>
      </c>
      <c r="B160" s="113"/>
      <c r="C160" s="113"/>
      <c r="D160" s="113"/>
      <c r="E160" s="113"/>
    </row>
    <row r="161" spans="1:5" x14ac:dyDescent="0.35">
      <c r="A161" s="36" t="s">
        <v>167</v>
      </c>
      <c r="B161" s="27" t="s">
        <v>11</v>
      </c>
      <c r="C161" s="20">
        <v>35.4</v>
      </c>
      <c r="D161" s="12">
        <v>40</v>
      </c>
      <c r="E161" s="32">
        <f t="shared" ref="E161:E166" si="13">C161*D161</f>
        <v>1416</v>
      </c>
    </row>
    <row r="162" spans="1:5" x14ac:dyDescent="0.35">
      <c r="A162" s="36" t="s">
        <v>168</v>
      </c>
      <c r="B162" s="11" t="s">
        <v>13</v>
      </c>
      <c r="C162" s="20">
        <v>37.5</v>
      </c>
      <c r="D162" s="12">
        <v>100</v>
      </c>
      <c r="E162" s="32">
        <f t="shared" si="13"/>
        <v>3750</v>
      </c>
    </row>
    <row r="163" spans="1:5" x14ac:dyDescent="0.35">
      <c r="A163" s="36" t="s">
        <v>169</v>
      </c>
      <c r="B163" s="11" t="s">
        <v>15</v>
      </c>
      <c r="C163" s="20">
        <v>42.8</v>
      </c>
      <c r="D163" s="12">
        <v>130</v>
      </c>
      <c r="E163" s="32">
        <f t="shared" si="13"/>
        <v>5564</v>
      </c>
    </row>
    <row r="164" spans="1:5" x14ac:dyDescent="0.35">
      <c r="A164" s="36" t="s">
        <v>170</v>
      </c>
      <c r="B164" s="11" t="s">
        <v>17</v>
      </c>
      <c r="C164" s="20">
        <v>48.2</v>
      </c>
      <c r="D164" s="12">
        <v>130</v>
      </c>
      <c r="E164" s="32">
        <f t="shared" si="13"/>
        <v>6266</v>
      </c>
    </row>
    <row r="165" spans="1:5" x14ac:dyDescent="0.35">
      <c r="A165" s="36" t="s">
        <v>171</v>
      </c>
      <c r="B165" s="11" t="s">
        <v>19</v>
      </c>
      <c r="C165" s="20">
        <v>53.5</v>
      </c>
      <c r="D165" s="12">
        <v>60</v>
      </c>
      <c r="E165" s="32">
        <f t="shared" si="13"/>
        <v>3210</v>
      </c>
    </row>
    <row r="166" spans="1:5" x14ac:dyDescent="0.35">
      <c r="A166" s="36" t="s">
        <v>172</v>
      </c>
      <c r="B166" s="24" t="s">
        <v>21</v>
      </c>
      <c r="C166" s="20">
        <v>56.800000000000004</v>
      </c>
      <c r="D166" s="12">
        <v>20</v>
      </c>
      <c r="E166" s="32">
        <f t="shared" si="13"/>
        <v>1136</v>
      </c>
    </row>
    <row r="167" spans="1:5" x14ac:dyDescent="0.35">
      <c r="A167" s="113" t="s">
        <v>173</v>
      </c>
      <c r="B167" s="113"/>
      <c r="C167" s="113"/>
      <c r="D167" s="113"/>
      <c r="E167" s="113"/>
    </row>
    <row r="168" spans="1:5" x14ac:dyDescent="0.3">
      <c r="A168" s="37" t="s">
        <v>174</v>
      </c>
      <c r="B168" s="38" t="s">
        <v>175</v>
      </c>
      <c r="C168" s="20">
        <v>481.5</v>
      </c>
      <c r="D168" s="25">
        <v>25</v>
      </c>
      <c r="E168" s="40">
        <f>C168*D168</f>
        <v>12037.5</v>
      </c>
    </row>
    <row r="169" spans="1:5" x14ac:dyDescent="0.3">
      <c r="A169" s="41" t="s">
        <v>176</v>
      </c>
      <c r="B169" s="42" t="s">
        <v>392</v>
      </c>
      <c r="C169" s="20">
        <v>588.5</v>
      </c>
      <c r="D169" s="44">
        <v>25</v>
      </c>
      <c r="E169" s="40">
        <f>C169*D169</f>
        <v>14712.5</v>
      </c>
    </row>
    <row r="170" spans="1:5" x14ac:dyDescent="0.3">
      <c r="A170" s="41" t="s">
        <v>395</v>
      </c>
      <c r="B170" s="42" t="s">
        <v>393</v>
      </c>
      <c r="C170" s="20">
        <v>802.5</v>
      </c>
      <c r="D170" s="44">
        <v>25</v>
      </c>
      <c r="E170" s="40">
        <f>C170*D170</f>
        <v>20062.5</v>
      </c>
    </row>
    <row r="171" spans="1:5" x14ac:dyDescent="0.3">
      <c r="A171" s="41" t="s">
        <v>396</v>
      </c>
      <c r="B171" s="42" t="s">
        <v>394</v>
      </c>
      <c r="C171" s="20">
        <v>909.5</v>
      </c>
      <c r="D171" s="44">
        <v>25</v>
      </c>
      <c r="E171" s="40">
        <f>C171*D171</f>
        <v>22737.5</v>
      </c>
    </row>
    <row r="172" spans="1:5" x14ac:dyDescent="0.35">
      <c r="A172" s="8"/>
      <c r="B172" s="16"/>
      <c r="C172" s="8"/>
      <c r="D172" s="17"/>
      <c r="E172" s="34"/>
    </row>
    <row r="173" spans="1:5" ht="45.65" customHeight="1" x14ac:dyDescent="0.35">
      <c r="A173" s="45" t="s">
        <v>177</v>
      </c>
      <c r="B173" s="114" t="s">
        <v>178</v>
      </c>
      <c r="C173" s="114"/>
      <c r="D173" s="114"/>
      <c r="E173" s="114"/>
    </row>
    <row r="174" spans="1:5" x14ac:dyDescent="0.35">
      <c r="A174" s="115" t="s">
        <v>9</v>
      </c>
      <c r="B174" s="115"/>
      <c r="C174" s="115"/>
      <c r="D174" s="115"/>
      <c r="E174" s="115"/>
    </row>
    <row r="175" spans="1:5" x14ac:dyDescent="0.35">
      <c r="A175" s="36" t="s">
        <v>179</v>
      </c>
      <c r="B175" s="27" t="s">
        <v>11</v>
      </c>
      <c r="C175" s="20">
        <v>203.3</v>
      </c>
      <c r="D175" s="12">
        <v>5</v>
      </c>
      <c r="E175" s="32">
        <f>C175*D175</f>
        <v>1016.5</v>
      </c>
    </row>
    <row r="176" spans="1:5" x14ac:dyDescent="0.35">
      <c r="A176" s="36" t="s">
        <v>180</v>
      </c>
      <c r="B176" s="11" t="s">
        <v>13</v>
      </c>
      <c r="C176" s="20">
        <v>224.7</v>
      </c>
      <c r="D176" s="12">
        <v>25</v>
      </c>
      <c r="E176" s="32">
        <f t="shared" ref="E176:E180" si="14">C176*D176</f>
        <v>5617.5</v>
      </c>
    </row>
    <row r="177" spans="1:5" x14ac:dyDescent="0.35">
      <c r="A177" s="36" t="s">
        <v>181</v>
      </c>
      <c r="B177" s="11" t="s">
        <v>15</v>
      </c>
      <c r="C177" s="20">
        <v>256.8</v>
      </c>
      <c r="D177" s="12">
        <v>40</v>
      </c>
      <c r="E177" s="32">
        <f t="shared" si="14"/>
        <v>10272</v>
      </c>
    </row>
    <row r="178" spans="1:5" x14ac:dyDescent="0.35">
      <c r="A178" s="36" t="s">
        <v>182</v>
      </c>
      <c r="B178" s="11" t="s">
        <v>17</v>
      </c>
      <c r="C178" s="20">
        <v>267.5</v>
      </c>
      <c r="D178" s="12">
        <v>40</v>
      </c>
      <c r="E178" s="32">
        <f t="shared" si="14"/>
        <v>10700</v>
      </c>
    </row>
    <row r="179" spans="1:5" x14ac:dyDescent="0.35">
      <c r="A179" s="36" t="s">
        <v>183</v>
      </c>
      <c r="B179" s="11" t="s">
        <v>19</v>
      </c>
      <c r="C179" s="20">
        <v>310.3</v>
      </c>
      <c r="D179" s="12">
        <v>20</v>
      </c>
      <c r="E179" s="32">
        <f t="shared" si="14"/>
        <v>6206</v>
      </c>
    </row>
    <row r="180" spans="1:5" x14ac:dyDescent="0.35">
      <c r="A180" s="36" t="s">
        <v>184</v>
      </c>
      <c r="B180" s="24" t="s">
        <v>21</v>
      </c>
      <c r="C180" s="20">
        <v>321</v>
      </c>
      <c r="D180" s="12">
        <v>20</v>
      </c>
      <c r="E180" s="32">
        <f t="shared" si="14"/>
        <v>6420</v>
      </c>
    </row>
    <row r="181" spans="1:5" x14ac:dyDescent="0.35">
      <c r="A181" s="113" t="s">
        <v>166</v>
      </c>
      <c r="B181" s="113"/>
      <c r="C181" s="113"/>
      <c r="D181" s="113"/>
      <c r="E181" s="113"/>
    </row>
    <row r="182" spans="1:5" x14ac:dyDescent="0.35">
      <c r="A182" s="36" t="s">
        <v>185</v>
      </c>
      <c r="B182" s="27" t="s">
        <v>11</v>
      </c>
      <c r="C182" s="20">
        <v>160.5</v>
      </c>
      <c r="D182" s="12">
        <v>5</v>
      </c>
      <c r="E182" s="32">
        <f t="shared" ref="E182:E187" si="15">C182*D182</f>
        <v>802.5</v>
      </c>
    </row>
    <row r="183" spans="1:5" x14ac:dyDescent="0.35">
      <c r="A183" s="36" t="s">
        <v>186</v>
      </c>
      <c r="B183" s="11" t="s">
        <v>13</v>
      </c>
      <c r="C183" s="20">
        <v>171.2</v>
      </c>
      <c r="D183" s="12">
        <v>25</v>
      </c>
      <c r="E183" s="32">
        <f t="shared" si="15"/>
        <v>4280</v>
      </c>
    </row>
    <row r="184" spans="1:5" x14ac:dyDescent="0.35">
      <c r="A184" s="36" t="s">
        <v>187</v>
      </c>
      <c r="B184" s="11" t="s">
        <v>15</v>
      </c>
      <c r="C184" s="20">
        <v>181.9</v>
      </c>
      <c r="D184" s="12">
        <v>40</v>
      </c>
      <c r="E184" s="32">
        <f t="shared" si="15"/>
        <v>7276</v>
      </c>
    </row>
    <row r="185" spans="1:5" x14ac:dyDescent="0.35">
      <c r="A185" s="36" t="s">
        <v>188</v>
      </c>
      <c r="B185" s="11" t="s">
        <v>17</v>
      </c>
      <c r="C185" s="20">
        <v>192.6</v>
      </c>
      <c r="D185" s="12">
        <v>40</v>
      </c>
      <c r="E185" s="32">
        <f t="shared" si="15"/>
        <v>7704</v>
      </c>
    </row>
    <row r="186" spans="1:5" x14ac:dyDescent="0.35">
      <c r="A186" s="36" t="s">
        <v>189</v>
      </c>
      <c r="B186" s="11" t="s">
        <v>19</v>
      </c>
      <c r="C186" s="20">
        <v>203.3</v>
      </c>
      <c r="D186" s="12">
        <v>20</v>
      </c>
      <c r="E186" s="32">
        <f t="shared" si="15"/>
        <v>4066</v>
      </c>
    </row>
    <row r="187" spans="1:5" x14ac:dyDescent="0.35">
      <c r="A187" s="36" t="s">
        <v>190</v>
      </c>
      <c r="B187" s="24" t="s">
        <v>21</v>
      </c>
      <c r="C187" s="20">
        <v>214</v>
      </c>
      <c r="D187" s="12">
        <v>20</v>
      </c>
      <c r="E187" s="32">
        <f t="shared" si="15"/>
        <v>4280</v>
      </c>
    </row>
    <row r="188" spans="1:5" x14ac:dyDescent="0.35">
      <c r="A188" s="113" t="s">
        <v>173</v>
      </c>
      <c r="B188" s="113"/>
      <c r="C188" s="113"/>
      <c r="D188" s="113"/>
      <c r="E188" s="113"/>
    </row>
    <row r="189" spans="1:5" x14ac:dyDescent="0.3">
      <c r="A189" s="46" t="s">
        <v>191</v>
      </c>
      <c r="B189" s="47" t="s">
        <v>192</v>
      </c>
      <c r="C189" s="20">
        <v>674.1</v>
      </c>
      <c r="D189" s="12">
        <v>25</v>
      </c>
      <c r="E189" s="32">
        <f>C189*D189</f>
        <v>16852.5</v>
      </c>
    </row>
    <row r="190" spans="1:5" x14ac:dyDescent="0.3">
      <c r="A190" s="46" t="s">
        <v>193</v>
      </c>
      <c r="B190" s="47" t="s">
        <v>399</v>
      </c>
      <c r="C190" s="20">
        <v>802.5</v>
      </c>
      <c r="D190" s="12">
        <v>25</v>
      </c>
      <c r="E190" s="32">
        <f>C190*D190</f>
        <v>20062.5</v>
      </c>
    </row>
    <row r="191" spans="1:5" x14ac:dyDescent="0.3">
      <c r="A191" s="46" t="s">
        <v>397</v>
      </c>
      <c r="B191" s="47" t="s">
        <v>400</v>
      </c>
      <c r="C191" s="20">
        <v>1177</v>
      </c>
      <c r="D191" s="12">
        <v>25</v>
      </c>
      <c r="E191" s="32">
        <f>C191*D191</f>
        <v>29425</v>
      </c>
    </row>
    <row r="192" spans="1:5" x14ac:dyDescent="0.3">
      <c r="A192" s="6" t="s">
        <v>398</v>
      </c>
      <c r="B192" s="47" t="s">
        <v>401</v>
      </c>
      <c r="C192" s="20">
        <v>1391</v>
      </c>
      <c r="D192" s="12">
        <v>25</v>
      </c>
      <c r="E192" s="32">
        <f>C192*D192</f>
        <v>34775</v>
      </c>
    </row>
    <row r="194" spans="1:5" ht="24.75" customHeight="1" x14ac:dyDescent="0.35">
      <c r="A194" s="23"/>
      <c r="B194" s="100" t="s">
        <v>194</v>
      </c>
      <c r="C194" s="101"/>
      <c r="D194" s="101"/>
      <c r="E194" s="102"/>
    </row>
    <row r="195" spans="1:5" x14ac:dyDescent="0.35">
      <c r="A195" s="119" t="s">
        <v>195</v>
      </c>
      <c r="B195" s="120"/>
      <c r="C195" s="120"/>
      <c r="D195" s="120"/>
      <c r="E195" s="121"/>
    </row>
    <row r="196" spans="1:5" x14ac:dyDescent="0.35">
      <c r="A196" s="26" t="s">
        <v>196</v>
      </c>
      <c r="B196" s="27" t="s">
        <v>197</v>
      </c>
      <c r="C196" s="20">
        <v>24.700000000000003</v>
      </c>
      <c r="D196" s="28">
        <v>1</v>
      </c>
      <c r="E196" s="32">
        <f>C196*D196</f>
        <v>24.700000000000003</v>
      </c>
    </row>
    <row r="197" spans="1:5" x14ac:dyDescent="0.35">
      <c r="A197" s="26" t="s">
        <v>198</v>
      </c>
      <c r="B197" s="11" t="s">
        <v>13</v>
      </c>
      <c r="C197" s="20">
        <v>25.700000000000003</v>
      </c>
      <c r="D197" s="12">
        <v>2</v>
      </c>
      <c r="E197" s="32">
        <f t="shared" ref="E197:E201" si="16">C197*D197</f>
        <v>51.400000000000006</v>
      </c>
    </row>
    <row r="198" spans="1:5" x14ac:dyDescent="0.35">
      <c r="A198" s="26" t="s">
        <v>199</v>
      </c>
      <c r="B198" s="11" t="s">
        <v>15</v>
      </c>
      <c r="C198" s="20">
        <v>27.900000000000002</v>
      </c>
      <c r="D198" s="12">
        <v>2</v>
      </c>
      <c r="E198" s="32">
        <f t="shared" si="16"/>
        <v>55.800000000000004</v>
      </c>
    </row>
    <row r="199" spans="1:5" x14ac:dyDescent="0.35">
      <c r="A199" s="26" t="s">
        <v>200</v>
      </c>
      <c r="B199" s="11" t="s">
        <v>17</v>
      </c>
      <c r="C199" s="20">
        <v>32.1</v>
      </c>
      <c r="D199" s="12">
        <v>7</v>
      </c>
      <c r="E199" s="32">
        <f t="shared" si="16"/>
        <v>224.70000000000002</v>
      </c>
    </row>
    <row r="200" spans="1:5" x14ac:dyDescent="0.35">
      <c r="A200" s="26" t="s">
        <v>201</v>
      </c>
      <c r="B200" s="11" t="s">
        <v>19</v>
      </c>
      <c r="C200" s="20">
        <v>34.300000000000004</v>
      </c>
      <c r="D200" s="12">
        <v>4</v>
      </c>
      <c r="E200" s="32">
        <f t="shared" si="16"/>
        <v>137.20000000000002</v>
      </c>
    </row>
    <row r="201" spans="1:5" x14ac:dyDescent="0.35">
      <c r="A201" s="26" t="s">
        <v>202</v>
      </c>
      <c r="B201" s="24" t="s">
        <v>21</v>
      </c>
      <c r="C201" s="20">
        <v>37.5</v>
      </c>
      <c r="D201" s="25">
        <v>1</v>
      </c>
      <c r="E201" s="32">
        <f t="shared" si="16"/>
        <v>37.5</v>
      </c>
    </row>
    <row r="202" spans="1:5" x14ac:dyDescent="0.35">
      <c r="A202" s="119" t="s">
        <v>203</v>
      </c>
      <c r="B202" s="120"/>
      <c r="C202" s="120"/>
      <c r="D202" s="120"/>
      <c r="E202" s="121"/>
    </row>
    <row r="203" spans="1:5" x14ac:dyDescent="0.35">
      <c r="A203" s="26" t="s">
        <v>204</v>
      </c>
      <c r="B203" s="27" t="s">
        <v>197</v>
      </c>
      <c r="C203" s="20">
        <v>27.900000000000002</v>
      </c>
      <c r="D203" s="28">
        <v>2</v>
      </c>
      <c r="E203" s="32">
        <f t="shared" ref="E203:E208" si="17">C203*D203</f>
        <v>55.800000000000004</v>
      </c>
    </row>
    <row r="204" spans="1:5" x14ac:dyDescent="0.35">
      <c r="A204" s="26" t="s">
        <v>205</v>
      </c>
      <c r="B204" s="11" t="s">
        <v>13</v>
      </c>
      <c r="C204" s="20">
        <v>28.900000000000002</v>
      </c>
      <c r="D204" s="12">
        <v>4</v>
      </c>
      <c r="E204" s="32">
        <f t="shared" si="17"/>
        <v>115.60000000000001</v>
      </c>
    </row>
    <row r="205" spans="1:5" x14ac:dyDescent="0.35">
      <c r="A205" s="26" t="s">
        <v>206</v>
      </c>
      <c r="B205" s="11" t="s">
        <v>15</v>
      </c>
      <c r="C205" s="20">
        <v>31.1</v>
      </c>
      <c r="D205" s="12">
        <v>7</v>
      </c>
      <c r="E205" s="32">
        <f t="shared" si="17"/>
        <v>217.70000000000002</v>
      </c>
    </row>
    <row r="206" spans="1:5" x14ac:dyDescent="0.35">
      <c r="A206" s="26" t="s">
        <v>207</v>
      </c>
      <c r="B206" s="11" t="s">
        <v>17</v>
      </c>
      <c r="C206" s="20">
        <v>33.200000000000003</v>
      </c>
      <c r="D206" s="12">
        <v>7</v>
      </c>
      <c r="E206" s="32">
        <f t="shared" si="17"/>
        <v>232.40000000000003</v>
      </c>
    </row>
    <row r="207" spans="1:5" x14ac:dyDescent="0.35">
      <c r="A207" s="26" t="s">
        <v>208</v>
      </c>
      <c r="B207" s="11" t="s">
        <v>19</v>
      </c>
      <c r="C207" s="20">
        <v>37.5</v>
      </c>
      <c r="D207" s="12">
        <v>3</v>
      </c>
      <c r="E207" s="32">
        <f t="shared" si="17"/>
        <v>112.5</v>
      </c>
    </row>
    <row r="208" spans="1:5" x14ac:dyDescent="0.35">
      <c r="A208" s="26" t="s">
        <v>209</v>
      </c>
      <c r="B208" s="24" t="s">
        <v>21</v>
      </c>
      <c r="C208" s="20">
        <v>39.6</v>
      </c>
      <c r="D208" s="25">
        <v>1</v>
      </c>
      <c r="E208" s="32">
        <f t="shared" si="17"/>
        <v>39.6</v>
      </c>
    </row>
    <row r="209" spans="1:5" x14ac:dyDescent="0.35">
      <c r="A209" s="119" t="s">
        <v>210</v>
      </c>
      <c r="B209" s="120"/>
      <c r="C209" s="120"/>
      <c r="D209" s="120"/>
      <c r="E209" s="121"/>
    </row>
    <row r="210" spans="1:5" x14ac:dyDescent="0.35">
      <c r="A210" s="26" t="s">
        <v>211</v>
      </c>
      <c r="B210" s="27" t="s">
        <v>197</v>
      </c>
      <c r="C210" s="20">
        <v>27.900000000000002</v>
      </c>
      <c r="D210" s="28">
        <v>2</v>
      </c>
      <c r="E210" s="32">
        <f>C210*D210</f>
        <v>55.800000000000004</v>
      </c>
    </row>
    <row r="211" spans="1:5" x14ac:dyDescent="0.35">
      <c r="A211" s="26" t="s">
        <v>212</v>
      </c>
      <c r="B211" s="11" t="s">
        <v>13</v>
      </c>
      <c r="C211" s="20">
        <v>28.900000000000002</v>
      </c>
      <c r="D211" s="12">
        <v>2</v>
      </c>
      <c r="E211" s="32">
        <f t="shared" ref="E211:E215" si="18">C211*D211</f>
        <v>57.800000000000004</v>
      </c>
    </row>
    <row r="212" spans="1:5" x14ac:dyDescent="0.35">
      <c r="A212" s="26" t="s">
        <v>213</v>
      </c>
      <c r="B212" s="11" t="s">
        <v>15</v>
      </c>
      <c r="C212" s="20">
        <v>31.1</v>
      </c>
      <c r="D212" s="12">
        <v>2</v>
      </c>
      <c r="E212" s="32">
        <f t="shared" si="18"/>
        <v>62.2</v>
      </c>
    </row>
    <row r="213" spans="1:5" x14ac:dyDescent="0.35">
      <c r="A213" s="26" t="s">
        <v>214</v>
      </c>
      <c r="B213" s="11" t="s">
        <v>17</v>
      </c>
      <c r="C213" s="20">
        <v>33.200000000000003</v>
      </c>
      <c r="D213" s="12">
        <v>1</v>
      </c>
      <c r="E213" s="32">
        <f t="shared" si="18"/>
        <v>33.200000000000003</v>
      </c>
    </row>
    <row r="214" spans="1:5" x14ac:dyDescent="0.35">
      <c r="A214" s="26" t="s">
        <v>215</v>
      </c>
      <c r="B214" s="11" t="s">
        <v>19</v>
      </c>
      <c r="C214" s="20">
        <v>37.5</v>
      </c>
      <c r="D214" s="12">
        <v>1</v>
      </c>
      <c r="E214" s="32">
        <f t="shared" si="18"/>
        <v>37.5</v>
      </c>
    </row>
    <row r="215" spans="1:5" x14ac:dyDescent="0.35">
      <c r="A215" s="26" t="s">
        <v>216</v>
      </c>
      <c r="B215" s="24" t="s">
        <v>21</v>
      </c>
      <c r="C215" s="20">
        <v>39.6</v>
      </c>
      <c r="D215" s="25">
        <v>1</v>
      </c>
      <c r="E215" s="32">
        <f t="shared" si="18"/>
        <v>39.6</v>
      </c>
    </row>
    <row r="216" spans="1:5" ht="14.5" x14ac:dyDescent="0.35">
      <c r="A216" s="122" t="s">
        <v>217</v>
      </c>
      <c r="B216" s="123"/>
      <c r="C216" s="123"/>
      <c r="D216" s="123"/>
      <c r="E216" s="124"/>
    </row>
    <row r="217" spans="1:5" ht="29" x14ac:dyDescent="0.35">
      <c r="A217" s="48" t="s">
        <v>218</v>
      </c>
      <c r="B217" s="49" t="s">
        <v>219</v>
      </c>
      <c r="C217" s="20">
        <v>16.100000000000001</v>
      </c>
      <c r="D217" s="51">
        <v>24</v>
      </c>
      <c r="E217" s="52">
        <f>C217*D217</f>
        <v>386.40000000000003</v>
      </c>
    </row>
    <row r="218" spans="1:5" ht="14.5" x14ac:dyDescent="0.35">
      <c r="A218" s="48" t="s">
        <v>220</v>
      </c>
      <c r="B218" s="53" t="s">
        <v>221</v>
      </c>
      <c r="C218" s="20">
        <v>53.5</v>
      </c>
      <c r="D218" s="51">
        <v>1</v>
      </c>
      <c r="E218" s="52">
        <f t="shared" ref="E218:E224" si="19">C218*D218</f>
        <v>53.5</v>
      </c>
    </row>
    <row r="219" spans="1:5" ht="14.5" x14ac:dyDescent="0.35">
      <c r="A219" s="48" t="s">
        <v>222</v>
      </c>
      <c r="B219" s="49" t="s">
        <v>123</v>
      </c>
      <c r="C219" s="20">
        <v>74.900000000000006</v>
      </c>
      <c r="D219" s="51">
        <v>1</v>
      </c>
      <c r="E219" s="52">
        <f t="shared" si="19"/>
        <v>74.900000000000006</v>
      </c>
    </row>
    <row r="220" spans="1:5" ht="49.15" customHeight="1" x14ac:dyDescent="0.35">
      <c r="A220" s="48" t="s">
        <v>223</v>
      </c>
      <c r="B220" s="49" t="s">
        <v>224</v>
      </c>
      <c r="C220" s="20">
        <v>107</v>
      </c>
      <c r="D220" s="51">
        <v>1</v>
      </c>
      <c r="E220" s="52">
        <f t="shared" si="19"/>
        <v>107</v>
      </c>
    </row>
    <row r="221" spans="1:5" ht="14.5" x14ac:dyDescent="0.35">
      <c r="A221" s="48" t="s">
        <v>225</v>
      </c>
      <c r="B221" s="49" t="s">
        <v>226</v>
      </c>
      <c r="C221" s="20">
        <v>214</v>
      </c>
      <c r="D221" s="51">
        <v>1</v>
      </c>
      <c r="E221" s="52">
        <f t="shared" si="19"/>
        <v>214</v>
      </c>
    </row>
    <row r="222" spans="1:5" ht="14.5" x14ac:dyDescent="0.35">
      <c r="A222" s="48" t="s">
        <v>227</v>
      </c>
      <c r="B222" s="49" t="s">
        <v>228</v>
      </c>
      <c r="C222" s="20">
        <v>428</v>
      </c>
      <c r="D222" s="51">
        <v>1</v>
      </c>
      <c r="E222" s="52">
        <f t="shared" si="19"/>
        <v>428</v>
      </c>
    </row>
    <row r="223" spans="1:5" ht="14.5" x14ac:dyDescent="0.35">
      <c r="A223" s="48" t="s">
        <v>229</v>
      </c>
      <c r="B223" s="49" t="s">
        <v>230</v>
      </c>
      <c r="C223" s="20">
        <v>749</v>
      </c>
      <c r="D223" s="51">
        <v>1</v>
      </c>
      <c r="E223" s="52">
        <f t="shared" si="19"/>
        <v>749</v>
      </c>
    </row>
    <row r="224" spans="1:5" ht="14.5" x14ac:dyDescent="0.35">
      <c r="A224" s="48" t="s">
        <v>231</v>
      </c>
      <c r="B224" s="49" t="s">
        <v>232</v>
      </c>
      <c r="C224" s="20">
        <v>856</v>
      </c>
      <c r="D224" s="51">
        <v>1</v>
      </c>
      <c r="E224" s="52">
        <f t="shared" si="19"/>
        <v>856</v>
      </c>
    </row>
    <row r="225" spans="1:5" ht="14.5" x14ac:dyDescent="0.35">
      <c r="A225" s="122" t="s">
        <v>233</v>
      </c>
      <c r="B225" s="123"/>
      <c r="C225" s="123"/>
      <c r="D225" s="123"/>
      <c r="E225" s="124"/>
    </row>
    <row r="226" spans="1:5" ht="14.5" x14ac:dyDescent="0.35">
      <c r="A226" s="48" t="s">
        <v>234</v>
      </c>
      <c r="B226" s="49" t="s">
        <v>197</v>
      </c>
      <c r="C226" s="20">
        <v>21.4</v>
      </c>
      <c r="D226" s="51">
        <v>1</v>
      </c>
      <c r="E226" s="52">
        <f>C226*D226</f>
        <v>21.4</v>
      </c>
    </row>
    <row r="227" spans="1:5" ht="14.5" x14ac:dyDescent="0.35">
      <c r="A227" s="48" t="s">
        <v>235</v>
      </c>
      <c r="B227" s="49" t="s">
        <v>13</v>
      </c>
      <c r="C227" s="20">
        <v>22.5</v>
      </c>
      <c r="D227" s="51">
        <v>1</v>
      </c>
      <c r="E227" s="52">
        <f t="shared" ref="E227:E231" si="20">C227*D227</f>
        <v>22.5</v>
      </c>
    </row>
    <row r="228" spans="1:5" ht="14.5" x14ac:dyDescent="0.35">
      <c r="A228" s="48" t="s">
        <v>236</v>
      </c>
      <c r="B228" s="49" t="s">
        <v>15</v>
      </c>
      <c r="C228" s="20">
        <v>23.6</v>
      </c>
      <c r="D228" s="51">
        <v>4</v>
      </c>
      <c r="E228" s="52">
        <f t="shared" si="20"/>
        <v>94.4</v>
      </c>
    </row>
    <row r="229" spans="1:5" ht="14.5" x14ac:dyDescent="0.35">
      <c r="A229" s="48" t="s">
        <v>237</v>
      </c>
      <c r="B229" s="49" t="s">
        <v>17</v>
      </c>
      <c r="C229" s="20">
        <v>24.700000000000003</v>
      </c>
      <c r="D229" s="51">
        <v>1</v>
      </c>
      <c r="E229" s="52">
        <f t="shared" si="20"/>
        <v>24.700000000000003</v>
      </c>
    </row>
    <row r="230" spans="1:5" ht="14.5" x14ac:dyDescent="0.35">
      <c r="A230" s="48" t="s">
        <v>238</v>
      </c>
      <c r="B230" s="49" t="s">
        <v>19</v>
      </c>
      <c r="C230" s="20">
        <v>25.700000000000003</v>
      </c>
      <c r="D230" s="51">
        <v>1</v>
      </c>
      <c r="E230" s="52">
        <f t="shared" si="20"/>
        <v>25.700000000000003</v>
      </c>
    </row>
    <row r="231" spans="1:5" ht="14.5" x14ac:dyDescent="0.35">
      <c r="A231" s="48" t="s">
        <v>239</v>
      </c>
      <c r="B231" s="49" t="s">
        <v>21</v>
      </c>
      <c r="C231" s="20">
        <v>26.8</v>
      </c>
      <c r="D231" s="51">
        <v>1</v>
      </c>
      <c r="E231" s="52">
        <f t="shared" si="20"/>
        <v>26.8</v>
      </c>
    </row>
    <row r="232" spans="1:5" ht="14.5" x14ac:dyDescent="0.35">
      <c r="A232" s="122" t="s">
        <v>240</v>
      </c>
      <c r="B232" s="123"/>
      <c r="C232" s="123"/>
      <c r="D232" s="123"/>
      <c r="E232" s="124"/>
    </row>
    <row r="233" spans="1:5" ht="14.5" x14ac:dyDescent="0.35">
      <c r="A233" s="48" t="s">
        <v>241</v>
      </c>
      <c r="B233" s="49" t="s">
        <v>242</v>
      </c>
      <c r="C233" s="20">
        <v>37.5</v>
      </c>
      <c r="D233" s="51">
        <v>8</v>
      </c>
      <c r="E233" s="52">
        <f>C233*D233</f>
        <v>300</v>
      </c>
    </row>
    <row r="234" spans="1:5" ht="14.5" x14ac:dyDescent="0.35">
      <c r="A234" s="48" t="s">
        <v>243</v>
      </c>
      <c r="B234" s="49" t="s">
        <v>244</v>
      </c>
      <c r="C234" s="20">
        <v>48.2</v>
      </c>
      <c r="D234" s="51">
        <v>52</v>
      </c>
      <c r="E234" s="52">
        <f t="shared" ref="E234:E242" si="21">C234*D234</f>
        <v>2506.4</v>
      </c>
    </row>
    <row r="235" spans="1:5" ht="14.5" x14ac:dyDescent="0.35">
      <c r="A235" s="48" t="s">
        <v>245</v>
      </c>
      <c r="B235" s="49" t="s">
        <v>246</v>
      </c>
      <c r="C235" s="20">
        <v>58.9</v>
      </c>
      <c r="D235" s="51">
        <v>24</v>
      </c>
      <c r="E235" s="52">
        <f t="shared" si="21"/>
        <v>1413.6</v>
      </c>
    </row>
    <row r="236" spans="1:5" ht="14.5" x14ac:dyDescent="0.35">
      <c r="A236" s="48" t="s">
        <v>247</v>
      </c>
      <c r="B236" s="49" t="s">
        <v>248</v>
      </c>
      <c r="C236" s="20">
        <v>69.599999999999994</v>
      </c>
      <c r="D236" s="51">
        <v>1</v>
      </c>
      <c r="E236" s="52">
        <f t="shared" si="21"/>
        <v>69.599999999999994</v>
      </c>
    </row>
    <row r="237" spans="1:5" ht="14.5" x14ac:dyDescent="0.35">
      <c r="A237" s="48" t="s">
        <v>249</v>
      </c>
      <c r="B237" s="49" t="s">
        <v>250</v>
      </c>
      <c r="C237" s="20">
        <v>91</v>
      </c>
      <c r="D237" s="51">
        <v>1</v>
      </c>
      <c r="E237" s="52">
        <f t="shared" si="21"/>
        <v>91</v>
      </c>
    </row>
    <row r="238" spans="1:5" ht="36" customHeight="1" x14ac:dyDescent="0.35">
      <c r="A238" s="48" t="s">
        <v>251</v>
      </c>
      <c r="B238" s="49" t="s">
        <v>252</v>
      </c>
      <c r="C238" s="20">
        <v>107</v>
      </c>
      <c r="D238" s="51">
        <v>1</v>
      </c>
      <c r="E238" s="52">
        <f t="shared" si="21"/>
        <v>107</v>
      </c>
    </row>
    <row r="239" spans="1:5" ht="14.5" x14ac:dyDescent="0.35">
      <c r="A239" s="48" t="s">
        <v>253</v>
      </c>
      <c r="B239" s="49" t="s">
        <v>254</v>
      </c>
      <c r="C239" s="20">
        <v>123.1</v>
      </c>
      <c r="D239" s="51">
        <v>4</v>
      </c>
      <c r="E239" s="52">
        <f t="shared" si="21"/>
        <v>492.4</v>
      </c>
    </row>
    <row r="240" spans="1:5" ht="26.5" customHeight="1" x14ac:dyDescent="0.35">
      <c r="A240" s="48" t="s">
        <v>255</v>
      </c>
      <c r="B240" s="49" t="s">
        <v>256</v>
      </c>
      <c r="C240" s="20">
        <v>107</v>
      </c>
      <c r="D240" s="51">
        <v>1</v>
      </c>
      <c r="E240" s="52">
        <f t="shared" si="21"/>
        <v>107</v>
      </c>
    </row>
    <row r="241" spans="1:5" ht="29" x14ac:dyDescent="0.35">
      <c r="A241" s="48" t="s">
        <v>257</v>
      </c>
      <c r="B241" s="49" t="s">
        <v>258</v>
      </c>
      <c r="C241" s="20">
        <v>74.900000000000006</v>
      </c>
      <c r="D241" s="51">
        <v>1</v>
      </c>
      <c r="E241" s="52">
        <f t="shared" si="21"/>
        <v>74.900000000000006</v>
      </c>
    </row>
    <row r="242" spans="1:5" ht="43.5" x14ac:dyDescent="0.35">
      <c r="A242" s="48" t="s">
        <v>259</v>
      </c>
      <c r="B242" s="49" t="s">
        <v>260</v>
      </c>
      <c r="C242" s="20">
        <v>214</v>
      </c>
      <c r="D242" s="51">
        <v>1</v>
      </c>
      <c r="E242" s="52">
        <f t="shared" si="21"/>
        <v>214</v>
      </c>
    </row>
    <row r="243" spans="1:5" ht="14.5" x14ac:dyDescent="0.35">
      <c r="A243" s="122" t="s">
        <v>261</v>
      </c>
      <c r="B243" s="123"/>
      <c r="C243" s="123"/>
      <c r="D243" s="123"/>
      <c r="E243" s="124"/>
    </row>
    <row r="244" spans="1:5" ht="29" x14ac:dyDescent="0.35">
      <c r="A244" s="48" t="s">
        <v>262</v>
      </c>
      <c r="B244" s="49" t="s">
        <v>263</v>
      </c>
      <c r="C244" s="20">
        <v>214</v>
      </c>
      <c r="D244" s="51">
        <v>1</v>
      </c>
      <c r="E244" s="52">
        <f>C244*D244</f>
        <v>214</v>
      </c>
    </row>
    <row r="245" spans="1:5" ht="58.15" customHeight="1" x14ac:dyDescent="0.35">
      <c r="A245" s="48" t="s">
        <v>264</v>
      </c>
      <c r="B245" s="49" t="s">
        <v>265</v>
      </c>
      <c r="C245" s="20">
        <v>374.5</v>
      </c>
      <c r="D245" s="51">
        <v>1</v>
      </c>
      <c r="E245" s="52">
        <f>C245*D245</f>
        <v>374.5</v>
      </c>
    </row>
    <row r="246" spans="1:5" ht="14.5" x14ac:dyDescent="0.35">
      <c r="A246" s="125" t="s">
        <v>266</v>
      </c>
      <c r="B246" s="126"/>
      <c r="C246" s="126"/>
      <c r="D246" s="126"/>
      <c r="E246" s="126"/>
    </row>
    <row r="247" spans="1:5" ht="42.65" customHeight="1" x14ac:dyDescent="0.35">
      <c r="A247" s="116" t="s">
        <v>267</v>
      </c>
      <c r="B247" s="117"/>
      <c r="C247" s="117"/>
      <c r="D247" s="117"/>
      <c r="E247" s="118"/>
    </row>
    <row r="248" spans="1:5" ht="14.5" x14ac:dyDescent="0.35">
      <c r="A248" s="54" t="s">
        <v>268</v>
      </c>
      <c r="B248" s="49" t="s">
        <v>226</v>
      </c>
      <c r="C248" s="20">
        <v>321</v>
      </c>
      <c r="D248" s="51">
        <v>1</v>
      </c>
      <c r="E248" s="52">
        <f>C248*D248</f>
        <v>321</v>
      </c>
    </row>
    <row r="249" spans="1:5" ht="14.5" x14ac:dyDescent="0.35">
      <c r="A249" s="48" t="s">
        <v>269</v>
      </c>
      <c r="B249" s="49" t="s">
        <v>270</v>
      </c>
      <c r="C249" s="20">
        <v>642</v>
      </c>
      <c r="D249" s="51">
        <v>1</v>
      </c>
      <c r="E249" s="52">
        <f t="shared" ref="E249:E251" si="22">C249*D249</f>
        <v>642</v>
      </c>
    </row>
    <row r="250" spans="1:5" ht="31.9" customHeight="1" x14ac:dyDescent="0.35">
      <c r="A250" s="48" t="s">
        <v>271</v>
      </c>
      <c r="B250" s="49" t="s">
        <v>272</v>
      </c>
      <c r="C250" s="20">
        <v>963</v>
      </c>
      <c r="D250" s="51">
        <v>1</v>
      </c>
      <c r="E250" s="52">
        <f t="shared" si="22"/>
        <v>963</v>
      </c>
    </row>
    <row r="251" spans="1:5" ht="14.5" x14ac:dyDescent="0.35">
      <c r="A251" s="48" t="s">
        <v>273</v>
      </c>
      <c r="B251" s="49" t="s">
        <v>232</v>
      </c>
      <c r="C251" s="20">
        <v>1284</v>
      </c>
      <c r="D251" s="51">
        <v>1</v>
      </c>
      <c r="E251" s="52">
        <f t="shared" si="22"/>
        <v>1284</v>
      </c>
    </row>
    <row r="252" spans="1:5" ht="34.15" customHeight="1" x14ac:dyDescent="0.35">
      <c r="A252" s="116" t="s">
        <v>274</v>
      </c>
      <c r="B252" s="117"/>
      <c r="C252" s="117"/>
      <c r="D252" s="117"/>
      <c r="E252" s="118"/>
    </row>
    <row r="253" spans="1:5" ht="14.5" x14ac:dyDescent="0.35">
      <c r="A253" s="48" t="s">
        <v>275</v>
      </c>
      <c r="B253" s="49" t="s">
        <v>242</v>
      </c>
      <c r="C253" s="20">
        <v>48.2</v>
      </c>
      <c r="D253" s="51">
        <v>1</v>
      </c>
      <c r="E253" s="52">
        <f>C253*D253</f>
        <v>48.2</v>
      </c>
    </row>
    <row r="254" spans="1:5" ht="14.5" x14ac:dyDescent="0.35">
      <c r="A254" s="48" t="s">
        <v>276</v>
      </c>
      <c r="B254" s="49" t="s">
        <v>244</v>
      </c>
      <c r="C254" s="20">
        <v>58.9</v>
      </c>
      <c r="D254" s="51">
        <v>4</v>
      </c>
      <c r="E254" s="52">
        <f t="shared" ref="E254:E260" si="23">C254*D254</f>
        <v>235.6</v>
      </c>
    </row>
    <row r="255" spans="1:5" ht="14.5" x14ac:dyDescent="0.35">
      <c r="A255" s="48" t="s">
        <v>277</v>
      </c>
      <c r="B255" s="49" t="s">
        <v>246</v>
      </c>
      <c r="C255" s="20">
        <v>91</v>
      </c>
      <c r="D255" s="51">
        <v>1</v>
      </c>
      <c r="E255" s="52">
        <f t="shared" si="23"/>
        <v>91</v>
      </c>
    </row>
    <row r="256" spans="1:5" ht="14.5" x14ac:dyDescent="0.35">
      <c r="A256" s="48" t="s">
        <v>278</v>
      </c>
      <c r="B256" s="49" t="s">
        <v>248</v>
      </c>
      <c r="C256" s="20">
        <v>112.39999999999999</v>
      </c>
      <c r="D256" s="51">
        <v>1</v>
      </c>
      <c r="E256" s="52">
        <f t="shared" si="23"/>
        <v>112.39999999999999</v>
      </c>
    </row>
    <row r="257" spans="1:5" ht="26.5" customHeight="1" x14ac:dyDescent="0.35">
      <c r="A257" s="48" t="s">
        <v>279</v>
      </c>
      <c r="B257" s="49" t="s">
        <v>250</v>
      </c>
      <c r="C257" s="20">
        <v>155.19999999999999</v>
      </c>
      <c r="D257" s="51">
        <v>1</v>
      </c>
      <c r="E257" s="52">
        <f t="shared" si="23"/>
        <v>155.19999999999999</v>
      </c>
    </row>
    <row r="258" spans="1:5" ht="14.5" x14ac:dyDescent="0.35">
      <c r="A258" s="48" t="s">
        <v>280</v>
      </c>
      <c r="B258" s="49" t="s">
        <v>252</v>
      </c>
      <c r="C258" s="20">
        <v>203.3</v>
      </c>
      <c r="D258" s="51">
        <v>1</v>
      </c>
      <c r="E258" s="52">
        <f t="shared" si="23"/>
        <v>203.3</v>
      </c>
    </row>
    <row r="259" spans="1:5" ht="14.5" x14ac:dyDescent="0.35">
      <c r="A259" s="48" t="s">
        <v>281</v>
      </c>
      <c r="B259" s="49" t="s">
        <v>254</v>
      </c>
      <c r="C259" s="20">
        <v>256.8</v>
      </c>
      <c r="D259" s="51">
        <v>1</v>
      </c>
      <c r="E259" s="52">
        <f t="shared" si="23"/>
        <v>256.8</v>
      </c>
    </row>
    <row r="260" spans="1:5" ht="43.5" x14ac:dyDescent="0.35">
      <c r="A260" s="48" t="s">
        <v>282</v>
      </c>
      <c r="B260" s="49" t="s">
        <v>283</v>
      </c>
      <c r="C260" s="20">
        <v>107</v>
      </c>
      <c r="D260" s="51">
        <v>1</v>
      </c>
      <c r="E260" s="52">
        <f t="shared" si="23"/>
        <v>107</v>
      </c>
    </row>
    <row r="261" spans="1:5" ht="14.5" x14ac:dyDescent="0.35">
      <c r="A261" s="125" t="s">
        <v>284</v>
      </c>
      <c r="B261" s="126"/>
      <c r="C261" s="126"/>
      <c r="D261" s="126"/>
      <c r="E261" s="127"/>
    </row>
    <row r="262" spans="1:5" ht="36" customHeight="1" x14ac:dyDescent="0.35">
      <c r="A262" s="116" t="s">
        <v>285</v>
      </c>
      <c r="B262" s="117"/>
      <c r="C262" s="117"/>
      <c r="D262" s="117"/>
      <c r="E262" s="118"/>
    </row>
    <row r="263" spans="1:5" ht="14.5" x14ac:dyDescent="0.35">
      <c r="A263" s="48" t="s">
        <v>286</v>
      </c>
      <c r="B263" s="49" t="s">
        <v>287</v>
      </c>
      <c r="C263" s="20">
        <v>41.800000000000004</v>
      </c>
      <c r="D263" s="51">
        <v>756</v>
      </c>
      <c r="E263" s="52">
        <f>C263*D263</f>
        <v>31600.800000000003</v>
      </c>
    </row>
    <row r="264" spans="1:5" ht="30.65" customHeight="1" x14ac:dyDescent="0.35">
      <c r="A264" s="48" t="s">
        <v>288</v>
      </c>
      <c r="B264" s="49" t="s">
        <v>289</v>
      </c>
      <c r="C264" s="20">
        <v>83.5</v>
      </c>
      <c r="D264" s="51">
        <v>168</v>
      </c>
      <c r="E264" s="52">
        <f t="shared" ref="E264:E266" si="24">C264*D264</f>
        <v>14028</v>
      </c>
    </row>
    <row r="265" spans="1:5" ht="14.5" x14ac:dyDescent="0.35">
      <c r="A265" s="48" t="s">
        <v>290</v>
      </c>
      <c r="B265" s="49" t="s">
        <v>291</v>
      </c>
      <c r="C265" s="20">
        <v>133.79999999999998</v>
      </c>
      <c r="D265" s="51">
        <v>25</v>
      </c>
      <c r="E265" s="52">
        <f t="shared" si="24"/>
        <v>3344.9999999999995</v>
      </c>
    </row>
    <row r="266" spans="1:5" ht="31.15" customHeight="1" x14ac:dyDescent="0.35">
      <c r="A266" s="48" t="s">
        <v>292</v>
      </c>
      <c r="B266" s="49" t="s">
        <v>293</v>
      </c>
      <c r="C266" s="20">
        <v>235.4</v>
      </c>
      <c r="D266" s="51">
        <v>26</v>
      </c>
      <c r="E266" s="52">
        <f t="shared" si="24"/>
        <v>6120.4000000000005</v>
      </c>
    </row>
    <row r="267" spans="1:5" ht="14.5" x14ac:dyDescent="0.35">
      <c r="A267" s="116" t="s">
        <v>294</v>
      </c>
      <c r="B267" s="117"/>
      <c r="C267" s="117"/>
      <c r="D267" s="117"/>
      <c r="E267" s="118"/>
    </row>
    <row r="268" spans="1:5" ht="14.5" x14ac:dyDescent="0.35">
      <c r="A268" s="48" t="s">
        <v>295</v>
      </c>
      <c r="B268" s="49" t="s">
        <v>296</v>
      </c>
      <c r="C268" s="20">
        <v>64.2</v>
      </c>
      <c r="D268" s="51">
        <v>200</v>
      </c>
      <c r="E268" s="52">
        <f>C268*D268</f>
        <v>12840</v>
      </c>
    </row>
    <row r="269" spans="1:5" ht="39.65" customHeight="1" x14ac:dyDescent="0.35">
      <c r="A269" s="48" t="s">
        <v>297</v>
      </c>
      <c r="B269" s="49" t="s">
        <v>289</v>
      </c>
      <c r="C269" s="20">
        <v>96.3</v>
      </c>
      <c r="D269" s="51">
        <v>104</v>
      </c>
      <c r="E269" s="52">
        <f t="shared" ref="E269:E271" si="25">C269*D269</f>
        <v>10015.199999999999</v>
      </c>
    </row>
    <row r="270" spans="1:5" ht="14.5" x14ac:dyDescent="0.35">
      <c r="A270" s="48" t="s">
        <v>298</v>
      </c>
      <c r="B270" s="49" t="s">
        <v>291</v>
      </c>
      <c r="C270" s="20">
        <v>246.1</v>
      </c>
      <c r="D270" s="51">
        <v>1</v>
      </c>
      <c r="E270" s="52">
        <f t="shared" si="25"/>
        <v>246.1</v>
      </c>
    </row>
    <row r="271" spans="1:5" ht="14.5" x14ac:dyDescent="0.35">
      <c r="A271" s="48" t="s">
        <v>299</v>
      </c>
      <c r="B271" s="49" t="s">
        <v>293</v>
      </c>
      <c r="C271" s="20">
        <v>428</v>
      </c>
      <c r="D271" s="51">
        <v>4</v>
      </c>
      <c r="E271" s="52">
        <f t="shared" si="25"/>
        <v>1712</v>
      </c>
    </row>
    <row r="272" spans="1:5" ht="14.5" x14ac:dyDescent="0.35">
      <c r="A272" s="116" t="s">
        <v>300</v>
      </c>
      <c r="B272" s="117"/>
      <c r="C272" s="117"/>
      <c r="D272" s="117"/>
      <c r="E272" s="118"/>
    </row>
    <row r="273" spans="1:5" ht="14.5" x14ac:dyDescent="0.35">
      <c r="A273" s="48" t="s">
        <v>301</v>
      </c>
      <c r="B273" s="49" t="s">
        <v>296</v>
      </c>
      <c r="C273" s="20">
        <v>96.3</v>
      </c>
      <c r="D273" s="51">
        <v>1</v>
      </c>
      <c r="E273" s="52">
        <f>C273*D273</f>
        <v>96.3</v>
      </c>
    </row>
    <row r="274" spans="1:5" ht="14.5" x14ac:dyDescent="0.35">
      <c r="A274" s="48" t="s">
        <v>302</v>
      </c>
      <c r="B274" s="49" t="s">
        <v>303</v>
      </c>
      <c r="C274" s="20">
        <v>139.1</v>
      </c>
      <c r="D274" s="51">
        <v>1</v>
      </c>
      <c r="E274" s="52">
        <f t="shared" ref="E274:E276" si="26">C274*D274</f>
        <v>139.1</v>
      </c>
    </row>
    <row r="275" spans="1:5" ht="14.5" x14ac:dyDescent="0.35">
      <c r="A275" s="48" t="s">
        <v>304</v>
      </c>
      <c r="B275" s="49" t="s">
        <v>291</v>
      </c>
      <c r="C275" s="20">
        <v>267.5</v>
      </c>
      <c r="D275" s="51">
        <v>10</v>
      </c>
      <c r="E275" s="52">
        <f t="shared" si="26"/>
        <v>2675</v>
      </c>
    </row>
    <row r="276" spans="1:5" ht="14.5" x14ac:dyDescent="0.35">
      <c r="A276" s="48" t="s">
        <v>305</v>
      </c>
      <c r="B276" s="49" t="s">
        <v>293</v>
      </c>
      <c r="C276" s="20">
        <v>374.5</v>
      </c>
      <c r="D276" s="51">
        <v>15</v>
      </c>
      <c r="E276" s="52">
        <f t="shared" si="26"/>
        <v>5617.5</v>
      </c>
    </row>
    <row r="277" spans="1:5" ht="14.5" x14ac:dyDescent="0.35">
      <c r="A277" s="116" t="s">
        <v>306</v>
      </c>
      <c r="B277" s="117"/>
      <c r="C277" s="117"/>
      <c r="D277" s="117"/>
      <c r="E277" s="118"/>
    </row>
    <row r="278" spans="1:5" ht="43.9" customHeight="1" x14ac:dyDescent="0.35">
      <c r="A278" s="48" t="s">
        <v>307</v>
      </c>
      <c r="B278" s="49" t="s">
        <v>308</v>
      </c>
      <c r="C278" s="20">
        <v>214</v>
      </c>
      <c r="D278" s="51">
        <v>1</v>
      </c>
      <c r="E278" s="52">
        <f>C278*D278</f>
        <v>214</v>
      </c>
    </row>
    <row r="279" spans="1:5" ht="30.65" customHeight="1" x14ac:dyDescent="0.35">
      <c r="A279" s="116" t="s">
        <v>309</v>
      </c>
      <c r="B279" s="117"/>
      <c r="C279" s="117"/>
      <c r="D279" s="117"/>
      <c r="E279" s="118"/>
    </row>
    <row r="280" spans="1:5" ht="14.5" x14ac:dyDescent="0.35">
      <c r="A280" s="48" t="s">
        <v>310</v>
      </c>
      <c r="B280" s="49" t="s">
        <v>226</v>
      </c>
      <c r="C280" s="20">
        <v>246.1</v>
      </c>
      <c r="D280" s="51">
        <v>1</v>
      </c>
      <c r="E280" s="52">
        <f>C280*D280</f>
        <v>246.1</v>
      </c>
    </row>
    <row r="281" spans="1:5" ht="14.5" x14ac:dyDescent="0.35">
      <c r="A281" s="48" t="s">
        <v>311</v>
      </c>
      <c r="B281" s="49" t="s">
        <v>270</v>
      </c>
      <c r="C281" s="20">
        <v>460.1</v>
      </c>
      <c r="D281" s="51">
        <v>1</v>
      </c>
      <c r="E281" s="52">
        <f t="shared" ref="E281:E283" si="27">C281*D281</f>
        <v>460.1</v>
      </c>
    </row>
    <row r="282" spans="1:5" ht="14.5" x14ac:dyDescent="0.35">
      <c r="A282" s="48" t="s">
        <v>312</v>
      </c>
      <c r="B282" s="49" t="s">
        <v>272</v>
      </c>
      <c r="C282" s="20">
        <v>888.1</v>
      </c>
      <c r="D282" s="51">
        <v>1</v>
      </c>
      <c r="E282" s="52">
        <f t="shared" si="27"/>
        <v>888.1</v>
      </c>
    </row>
    <row r="283" spans="1:5" ht="14.5" x14ac:dyDescent="0.35">
      <c r="A283" s="48" t="s">
        <v>313</v>
      </c>
      <c r="B283" s="49" t="s">
        <v>232</v>
      </c>
      <c r="C283" s="20">
        <v>1391</v>
      </c>
      <c r="D283" s="51">
        <v>1</v>
      </c>
      <c r="E283" s="52">
        <f t="shared" si="27"/>
        <v>1391</v>
      </c>
    </row>
    <row r="284" spans="1:5" ht="14.5" x14ac:dyDescent="0.35">
      <c r="A284" s="116" t="s">
        <v>314</v>
      </c>
      <c r="B284" s="117"/>
      <c r="C284" s="117"/>
      <c r="D284" s="117"/>
      <c r="E284" s="118"/>
    </row>
    <row r="285" spans="1:5" ht="14.5" x14ac:dyDescent="0.35">
      <c r="A285" s="48" t="s">
        <v>315</v>
      </c>
      <c r="B285" s="49" t="s">
        <v>242</v>
      </c>
      <c r="C285" s="20">
        <v>69.599999999999994</v>
      </c>
      <c r="D285" s="51">
        <v>1</v>
      </c>
      <c r="E285" s="52">
        <f>C285*D285</f>
        <v>69.599999999999994</v>
      </c>
    </row>
    <row r="286" spans="1:5" ht="14.5" x14ac:dyDescent="0.35">
      <c r="A286" s="48" t="s">
        <v>316</v>
      </c>
      <c r="B286" s="49" t="s">
        <v>244</v>
      </c>
      <c r="C286" s="20">
        <v>80.3</v>
      </c>
      <c r="D286" s="51">
        <v>1</v>
      </c>
      <c r="E286" s="52">
        <f t="shared" ref="E286:E291" si="28">C286*D286</f>
        <v>80.3</v>
      </c>
    </row>
    <row r="287" spans="1:5" ht="14.5" x14ac:dyDescent="0.35">
      <c r="A287" s="48" t="s">
        <v>317</v>
      </c>
      <c r="B287" s="49" t="s">
        <v>246</v>
      </c>
      <c r="C287" s="20">
        <v>101.69999999999999</v>
      </c>
      <c r="D287" s="51">
        <v>1</v>
      </c>
      <c r="E287" s="52">
        <f t="shared" si="28"/>
        <v>101.69999999999999</v>
      </c>
    </row>
    <row r="288" spans="1:5" ht="14.5" x14ac:dyDescent="0.35">
      <c r="A288" s="48" t="s">
        <v>318</v>
      </c>
      <c r="B288" s="49" t="s">
        <v>248</v>
      </c>
      <c r="C288" s="20">
        <v>144.5</v>
      </c>
      <c r="D288" s="51">
        <v>1</v>
      </c>
      <c r="E288" s="52">
        <f t="shared" si="28"/>
        <v>144.5</v>
      </c>
    </row>
    <row r="289" spans="1:5" ht="14.5" x14ac:dyDescent="0.35">
      <c r="A289" s="48" t="s">
        <v>319</v>
      </c>
      <c r="B289" s="49" t="s">
        <v>250</v>
      </c>
      <c r="C289" s="20">
        <v>198</v>
      </c>
      <c r="D289" s="51">
        <v>1</v>
      </c>
      <c r="E289" s="52">
        <f t="shared" si="28"/>
        <v>198</v>
      </c>
    </row>
    <row r="290" spans="1:5" ht="14.5" x14ac:dyDescent="0.35">
      <c r="A290" s="48" t="s">
        <v>320</v>
      </c>
      <c r="B290" s="49" t="s">
        <v>252</v>
      </c>
      <c r="C290" s="20">
        <v>272.90000000000003</v>
      </c>
      <c r="D290" s="51">
        <v>1</v>
      </c>
      <c r="E290" s="52">
        <f t="shared" si="28"/>
        <v>272.90000000000003</v>
      </c>
    </row>
    <row r="291" spans="1:5" ht="37.9" customHeight="1" x14ac:dyDescent="0.35">
      <c r="A291" s="48" t="s">
        <v>321</v>
      </c>
      <c r="B291" s="49" t="s">
        <v>254</v>
      </c>
      <c r="C291" s="20">
        <v>321</v>
      </c>
      <c r="D291" s="51">
        <v>1</v>
      </c>
      <c r="E291" s="52">
        <f t="shared" si="28"/>
        <v>321</v>
      </c>
    </row>
    <row r="292" spans="1:5" ht="14.5" x14ac:dyDescent="0.35">
      <c r="A292" s="125" t="s">
        <v>322</v>
      </c>
      <c r="B292" s="126"/>
      <c r="C292" s="126"/>
      <c r="D292" s="126"/>
      <c r="E292" s="127"/>
    </row>
    <row r="293" spans="1:5" ht="30" customHeight="1" x14ac:dyDescent="0.35">
      <c r="A293" s="125" t="s">
        <v>384</v>
      </c>
      <c r="B293" s="126"/>
      <c r="C293" s="126"/>
      <c r="D293" s="126"/>
      <c r="E293" s="127"/>
    </row>
    <row r="294" spans="1:5" ht="14.5" x14ac:dyDescent="0.35">
      <c r="A294" s="48" t="s">
        <v>324</v>
      </c>
      <c r="B294" s="49" t="s">
        <v>325</v>
      </c>
      <c r="C294" s="20">
        <v>22.5</v>
      </c>
      <c r="D294" s="51">
        <v>15312</v>
      </c>
      <c r="E294" s="52">
        <f>C294*D294</f>
        <v>344520</v>
      </c>
    </row>
    <row r="295" spans="1:5" ht="14.5" x14ac:dyDescent="0.35">
      <c r="A295" s="48" t="s">
        <v>326</v>
      </c>
      <c r="B295" s="49" t="s">
        <v>327</v>
      </c>
      <c r="C295" s="20">
        <v>22.5</v>
      </c>
      <c r="D295" s="51">
        <v>388</v>
      </c>
      <c r="E295" s="52">
        <f t="shared" ref="E295:E297" si="29">C295*D295</f>
        <v>8730</v>
      </c>
    </row>
    <row r="296" spans="1:5" ht="14.5" x14ac:dyDescent="0.35">
      <c r="A296" s="48" t="s">
        <v>328</v>
      </c>
      <c r="B296" s="49" t="s">
        <v>329</v>
      </c>
      <c r="C296" s="20">
        <v>21.4</v>
      </c>
      <c r="D296" s="51">
        <v>2340</v>
      </c>
      <c r="E296" s="52">
        <f t="shared" si="29"/>
        <v>50076</v>
      </c>
    </row>
    <row r="297" spans="1:5" ht="14.5" x14ac:dyDescent="0.35">
      <c r="A297" s="48" t="s">
        <v>330</v>
      </c>
      <c r="B297" s="49" t="s">
        <v>331</v>
      </c>
      <c r="C297" s="20">
        <v>21.4</v>
      </c>
      <c r="D297" s="51">
        <v>3360</v>
      </c>
      <c r="E297" s="52">
        <f t="shared" si="29"/>
        <v>71904</v>
      </c>
    </row>
    <row r="298" spans="1:5" ht="14.5" x14ac:dyDescent="0.35">
      <c r="A298" s="116" t="s">
        <v>332</v>
      </c>
      <c r="B298" s="117"/>
      <c r="C298" s="117"/>
      <c r="D298" s="117"/>
      <c r="E298" s="118"/>
    </row>
    <row r="299" spans="1:5" ht="14.5" x14ac:dyDescent="0.35">
      <c r="A299" s="48" t="s">
        <v>333</v>
      </c>
      <c r="B299" s="49" t="s">
        <v>334</v>
      </c>
      <c r="C299" s="20">
        <v>289</v>
      </c>
      <c r="D299" s="51">
        <v>1</v>
      </c>
      <c r="E299" s="52">
        <f>C299*D299</f>
        <v>289</v>
      </c>
    </row>
    <row r="300" spans="1:5" ht="14.5" x14ac:dyDescent="0.35">
      <c r="A300" s="116" t="s">
        <v>335</v>
      </c>
      <c r="B300" s="117"/>
      <c r="C300" s="117"/>
      <c r="D300" s="117"/>
      <c r="E300" s="118"/>
    </row>
    <row r="301" spans="1:5" ht="33" customHeight="1" x14ac:dyDescent="0.35">
      <c r="A301" s="116" t="s">
        <v>385</v>
      </c>
      <c r="B301" s="128"/>
      <c r="C301" s="128"/>
      <c r="D301" s="128"/>
      <c r="E301" s="129"/>
    </row>
    <row r="302" spans="1:5" ht="42" customHeight="1" x14ac:dyDescent="0.35">
      <c r="A302" s="48" t="s">
        <v>336</v>
      </c>
      <c r="B302" s="49" t="s">
        <v>337</v>
      </c>
      <c r="C302" s="20">
        <v>64.2</v>
      </c>
      <c r="D302" s="51">
        <v>40</v>
      </c>
      <c r="E302" s="52">
        <f>C302*D302</f>
        <v>2568</v>
      </c>
    </row>
    <row r="303" spans="1:5" ht="14.5" x14ac:dyDescent="0.35">
      <c r="A303" s="48" t="s">
        <v>338</v>
      </c>
      <c r="B303" s="49" t="s">
        <v>339</v>
      </c>
      <c r="C303" s="20">
        <v>61</v>
      </c>
      <c r="D303" s="51">
        <v>1</v>
      </c>
      <c r="E303" s="52">
        <f t="shared" ref="E303:E304" si="30">C303*D303</f>
        <v>61</v>
      </c>
    </row>
    <row r="304" spans="1:5" ht="14.5" x14ac:dyDescent="0.35">
      <c r="A304" s="48" t="s">
        <v>340</v>
      </c>
      <c r="B304" s="49" t="s">
        <v>341</v>
      </c>
      <c r="C304" s="20">
        <v>58.9</v>
      </c>
      <c r="D304" s="51">
        <v>1</v>
      </c>
      <c r="E304" s="52">
        <f t="shared" si="30"/>
        <v>58.9</v>
      </c>
    </row>
    <row r="305" spans="1:5" ht="14.5" x14ac:dyDescent="0.35">
      <c r="A305" s="116" t="s">
        <v>342</v>
      </c>
      <c r="B305" s="117"/>
      <c r="C305" s="117"/>
      <c r="D305" s="117"/>
      <c r="E305" s="118"/>
    </row>
    <row r="306" spans="1:5" ht="29" x14ac:dyDescent="0.35">
      <c r="A306" s="48" t="s">
        <v>343</v>
      </c>
      <c r="B306" s="49" t="s">
        <v>344</v>
      </c>
      <c r="C306" s="20">
        <v>856</v>
      </c>
      <c r="D306" s="51">
        <v>4</v>
      </c>
      <c r="E306" s="52">
        <f>C306*D306</f>
        <v>3424</v>
      </c>
    </row>
    <row r="307" spans="1:5" ht="29" x14ac:dyDescent="0.35">
      <c r="A307" s="48" t="s">
        <v>345</v>
      </c>
      <c r="B307" s="49" t="s">
        <v>346</v>
      </c>
      <c r="C307" s="20">
        <v>1605</v>
      </c>
      <c r="D307" s="51">
        <v>1</v>
      </c>
      <c r="E307" s="52">
        <f>C307*D307</f>
        <v>1605</v>
      </c>
    </row>
    <row r="308" spans="1:5" ht="14.5" x14ac:dyDescent="0.35">
      <c r="A308" s="125" t="s">
        <v>347</v>
      </c>
      <c r="B308" s="126"/>
      <c r="C308" s="126"/>
      <c r="D308" s="126"/>
      <c r="E308" s="127"/>
    </row>
    <row r="309" spans="1:5" ht="14.5" x14ac:dyDescent="0.35">
      <c r="A309" s="116" t="s">
        <v>348</v>
      </c>
      <c r="B309" s="117"/>
      <c r="C309" s="117"/>
      <c r="D309" s="117"/>
      <c r="E309" s="118"/>
    </row>
    <row r="310" spans="1:5" ht="14.5" x14ac:dyDescent="0.35">
      <c r="A310" s="48" t="s">
        <v>349</v>
      </c>
      <c r="B310" s="49" t="s">
        <v>11</v>
      </c>
      <c r="C310" s="20">
        <v>18.200000000000003</v>
      </c>
      <c r="D310" s="51">
        <v>116</v>
      </c>
      <c r="E310" s="52">
        <f>C310*D310</f>
        <v>2111.2000000000003</v>
      </c>
    </row>
    <row r="311" spans="1:5" ht="14.5" x14ac:dyDescent="0.35">
      <c r="A311" s="48" t="s">
        <v>350</v>
      </c>
      <c r="B311" s="49" t="s">
        <v>13</v>
      </c>
      <c r="C311" s="20">
        <v>22.5</v>
      </c>
      <c r="D311" s="51">
        <v>116</v>
      </c>
      <c r="E311" s="52">
        <f t="shared" ref="E311:E314" si="31">C311*D311</f>
        <v>2610</v>
      </c>
    </row>
    <row r="312" spans="1:5" ht="14.5" x14ac:dyDescent="0.35">
      <c r="A312" s="48" t="s">
        <v>351</v>
      </c>
      <c r="B312" s="49" t="s">
        <v>15</v>
      </c>
      <c r="C312" s="20">
        <v>24.700000000000003</v>
      </c>
      <c r="D312" s="51">
        <v>116</v>
      </c>
      <c r="E312" s="52">
        <f t="shared" si="31"/>
        <v>2865.2000000000003</v>
      </c>
    </row>
    <row r="313" spans="1:5" ht="14.5" x14ac:dyDescent="0.35">
      <c r="A313" s="48" t="s">
        <v>352</v>
      </c>
      <c r="B313" s="49" t="s">
        <v>17</v>
      </c>
      <c r="C313" s="20">
        <v>27.900000000000002</v>
      </c>
      <c r="D313" s="51">
        <v>116</v>
      </c>
      <c r="E313" s="52">
        <f t="shared" si="31"/>
        <v>3236.4</v>
      </c>
    </row>
    <row r="314" spans="1:5" ht="39.65" customHeight="1" x14ac:dyDescent="0.35">
      <c r="A314" s="48" t="s">
        <v>353</v>
      </c>
      <c r="B314" s="49" t="s">
        <v>19</v>
      </c>
      <c r="C314" s="20">
        <v>31.1</v>
      </c>
      <c r="D314" s="51">
        <v>116</v>
      </c>
      <c r="E314" s="52">
        <f t="shared" si="31"/>
        <v>3607.6000000000004</v>
      </c>
    </row>
    <row r="315" spans="1:5" ht="14.5" x14ac:dyDescent="0.35">
      <c r="A315" s="116" t="s">
        <v>354</v>
      </c>
      <c r="B315" s="117"/>
      <c r="C315" s="117"/>
      <c r="D315" s="117"/>
      <c r="E315" s="118"/>
    </row>
    <row r="316" spans="1:5" ht="14.5" x14ac:dyDescent="0.35">
      <c r="A316" s="48" t="s">
        <v>355</v>
      </c>
      <c r="B316" s="49" t="s">
        <v>356</v>
      </c>
      <c r="C316" s="20">
        <v>26.8</v>
      </c>
      <c r="D316" s="51">
        <v>24</v>
      </c>
      <c r="E316" s="52">
        <f>C316*D316</f>
        <v>643.20000000000005</v>
      </c>
    </row>
    <row r="317" spans="1:5" ht="14.5" x14ac:dyDescent="0.35">
      <c r="A317" s="48" t="s">
        <v>357</v>
      </c>
      <c r="B317" s="49" t="s">
        <v>358</v>
      </c>
      <c r="C317" s="20">
        <v>32.1</v>
      </c>
      <c r="D317" s="51">
        <v>24</v>
      </c>
      <c r="E317" s="52">
        <f t="shared" ref="E317:E326" si="32">C317*D317</f>
        <v>770.40000000000009</v>
      </c>
    </row>
    <row r="318" spans="1:5" ht="14.5" x14ac:dyDescent="0.35">
      <c r="A318" s="48" t="s">
        <v>359</v>
      </c>
      <c r="B318" s="49" t="s">
        <v>360</v>
      </c>
      <c r="C318" s="20">
        <v>37.5</v>
      </c>
      <c r="D318" s="51">
        <v>16</v>
      </c>
      <c r="E318" s="52">
        <f t="shared" si="32"/>
        <v>600</v>
      </c>
    </row>
    <row r="319" spans="1:5" ht="14.5" x14ac:dyDescent="0.35">
      <c r="A319" s="48" t="s">
        <v>361</v>
      </c>
      <c r="B319" s="49" t="s">
        <v>362</v>
      </c>
      <c r="C319" s="20">
        <v>26.8</v>
      </c>
      <c r="D319" s="51">
        <v>8</v>
      </c>
      <c r="E319" s="52">
        <f t="shared" si="32"/>
        <v>214.4</v>
      </c>
    </row>
    <row r="320" spans="1:5" ht="14.5" x14ac:dyDescent="0.35">
      <c r="A320" s="48" t="s">
        <v>363</v>
      </c>
      <c r="B320" s="49" t="s">
        <v>364</v>
      </c>
      <c r="C320" s="20">
        <v>48.2</v>
      </c>
      <c r="D320" s="51">
        <v>4</v>
      </c>
      <c r="E320" s="52">
        <f t="shared" si="32"/>
        <v>192.8</v>
      </c>
    </row>
    <row r="321" spans="1:5" ht="14.5" x14ac:dyDescent="0.35">
      <c r="A321" s="48" t="s">
        <v>365</v>
      </c>
      <c r="B321" s="49" t="s">
        <v>366</v>
      </c>
      <c r="C321" s="20">
        <v>26.8</v>
      </c>
      <c r="D321" s="51">
        <v>4</v>
      </c>
      <c r="E321" s="52">
        <f t="shared" si="32"/>
        <v>107.2</v>
      </c>
    </row>
    <row r="322" spans="1:5" ht="14.5" x14ac:dyDescent="0.35">
      <c r="A322" s="48" t="s">
        <v>367</v>
      </c>
      <c r="B322" s="49" t="s">
        <v>368</v>
      </c>
      <c r="C322" s="20">
        <v>48.2</v>
      </c>
      <c r="D322" s="51">
        <v>4</v>
      </c>
      <c r="E322" s="52">
        <f t="shared" si="32"/>
        <v>192.8</v>
      </c>
    </row>
    <row r="323" spans="1:5" ht="14.5" x14ac:dyDescent="0.35">
      <c r="A323" s="48" t="s">
        <v>369</v>
      </c>
      <c r="B323" s="49" t="s">
        <v>370</v>
      </c>
      <c r="C323" s="20">
        <v>26.8</v>
      </c>
      <c r="D323" s="51">
        <v>8</v>
      </c>
      <c r="E323" s="52">
        <f t="shared" si="32"/>
        <v>214.4</v>
      </c>
    </row>
    <row r="324" spans="1:5" ht="14.5" x14ac:dyDescent="0.35">
      <c r="A324" s="48" t="s">
        <v>371</v>
      </c>
      <c r="B324" s="49" t="s">
        <v>372</v>
      </c>
      <c r="C324" s="20">
        <v>48.2</v>
      </c>
      <c r="D324" s="51">
        <v>4</v>
      </c>
      <c r="E324" s="52">
        <f t="shared" si="32"/>
        <v>192.8</v>
      </c>
    </row>
    <row r="325" spans="1:5" ht="14.5" x14ac:dyDescent="0.35">
      <c r="A325" s="48" t="s">
        <v>373</v>
      </c>
      <c r="B325" s="49" t="s">
        <v>374</v>
      </c>
      <c r="C325" s="20">
        <v>53.5</v>
      </c>
      <c r="D325" s="51">
        <v>8</v>
      </c>
      <c r="E325" s="52">
        <f t="shared" si="32"/>
        <v>428</v>
      </c>
    </row>
    <row r="326" spans="1:5" ht="14.5" x14ac:dyDescent="0.35">
      <c r="A326" s="48" t="s">
        <v>375</v>
      </c>
      <c r="B326" s="49" t="s">
        <v>376</v>
      </c>
      <c r="C326" s="20">
        <v>64.2</v>
      </c>
      <c r="D326" s="51">
        <v>4</v>
      </c>
      <c r="E326" s="52">
        <f t="shared" si="32"/>
        <v>256.8</v>
      </c>
    </row>
    <row r="327" spans="1:5" ht="23.5" x14ac:dyDescent="0.55000000000000004">
      <c r="A327" s="55" t="s">
        <v>377</v>
      </c>
      <c r="B327" s="56"/>
      <c r="C327" s="57"/>
      <c r="D327" s="58"/>
      <c r="E327" s="59"/>
    </row>
    <row r="328" spans="1:5" ht="14.5" x14ac:dyDescent="0.35">
      <c r="A328" s="116" t="s">
        <v>378</v>
      </c>
      <c r="B328" s="117"/>
      <c r="C328" s="117"/>
      <c r="D328" s="117"/>
      <c r="E328" s="118"/>
    </row>
    <row r="329" spans="1:5" ht="14.5" x14ac:dyDescent="0.35">
      <c r="A329" s="116" t="s">
        <v>386</v>
      </c>
      <c r="B329" s="128"/>
      <c r="C329" s="128"/>
      <c r="D329" s="128"/>
      <c r="E329" s="129"/>
    </row>
    <row r="330" spans="1:5" ht="14.5" x14ac:dyDescent="0.35">
      <c r="A330" s="48" t="s">
        <v>380</v>
      </c>
      <c r="B330" s="49" t="s">
        <v>337</v>
      </c>
      <c r="C330" s="20">
        <v>101.69999999999999</v>
      </c>
      <c r="D330" s="51">
        <v>50</v>
      </c>
      <c r="E330" s="52">
        <f>C330*D330</f>
        <v>5084.9999999999991</v>
      </c>
    </row>
    <row r="331" spans="1:5" ht="14.5" x14ac:dyDescent="0.35">
      <c r="A331" s="48" t="s">
        <v>381</v>
      </c>
      <c r="B331" s="49" t="s">
        <v>339</v>
      </c>
      <c r="C331" s="20">
        <v>96.3</v>
      </c>
      <c r="D331" s="51">
        <v>10</v>
      </c>
      <c r="E331" s="52">
        <f t="shared" ref="E331:E332" si="33">C331*D331</f>
        <v>963</v>
      </c>
    </row>
    <row r="332" spans="1:5" ht="14.5" x14ac:dyDescent="0.35">
      <c r="A332" s="60" t="s">
        <v>382</v>
      </c>
      <c r="B332" s="61" t="s">
        <v>341</v>
      </c>
      <c r="C332" s="20">
        <v>96.3</v>
      </c>
      <c r="D332" s="62">
        <v>1</v>
      </c>
      <c r="E332" s="52">
        <f t="shared" si="33"/>
        <v>96.3</v>
      </c>
    </row>
    <row r="333" spans="1:5" ht="14.5" x14ac:dyDescent="0.35">
      <c r="A333" s="130" t="s">
        <v>383</v>
      </c>
      <c r="B333" s="130"/>
      <c r="C333" s="130"/>
      <c r="D333" s="130"/>
      <c r="E333" s="63">
        <f>SUM(E16:E332)</f>
        <v>956522.80000000016</v>
      </c>
    </row>
  </sheetData>
  <mergeCells count="71">
    <mergeCell ref="A309:E309"/>
    <mergeCell ref="A315:E315"/>
    <mergeCell ref="A328:E328"/>
    <mergeCell ref="A329:E329"/>
    <mergeCell ref="A333:D333"/>
    <mergeCell ref="A308:E308"/>
    <mergeCell ref="A267:E267"/>
    <mergeCell ref="A272:E272"/>
    <mergeCell ref="A277:E277"/>
    <mergeCell ref="A279:E279"/>
    <mergeCell ref="A284:E284"/>
    <mergeCell ref="A292:E292"/>
    <mergeCell ref="A293:E293"/>
    <mergeCell ref="A298:E298"/>
    <mergeCell ref="A300:E300"/>
    <mergeCell ref="A301:E301"/>
    <mergeCell ref="A305:E305"/>
    <mergeCell ref="A262:E262"/>
    <mergeCell ref="A195:E195"/>
    <mergeCell ref="A202:E202"/>
    <mergeCell ref="A209:E209"/>
    <mergeCell ref="A216:E216"/>
    <mergeCell ref="A225:E225"/>
    <mergeCell ref="A232:E232"/>
    <mergeCell ref="A243:E243"/>
    <mergeCell ref="A246:E246"/>
    <mergeCell ref="A247:E247"/>
    <mergeCell ref="A252:E252"/>
    <mergeCell ref="A261:E261"/>
    <mergeCell ref="B194:E194"/>
    <mergeCell ref="A140:E140"/>
    <mergeCell ref="A145:E145"/>
    <mergeCell ref="A151:A152"/>
    <mergeCell ref="B151:E152"/>
    <mergeCell ref="A153:E153"/>
    <mergeCell ref="A160:E160"/>
    <mergeCell ref="A167:E167"/>
    <mergeCell ref="B173:E173"/>
    <mergeCell ref="A174:E174"/>
    <mergeCell ref="A181:E181"/>
    <mergeCell ref="A188:E188"/>
    <mergeCell ref="B139:E139"/>
    <mergeCell ref="A89:E89"/>
    <mergeCell ref="B96:E96"/>
    <mergeCell ref="A97:E97"/>
    <mergeCell ref="A104:E104"/>
    <mergeCell ref="B111:E111"/>
    <mergeCell ref="B114:E114"/>
    <mergeCell ref="A115:E115"/>
    <mergeCell ref="A122:E122"/>
    <mergeCell ref="B127:E127"/>
    <mergeCell ref="A128:E128"/>
    <mergeCell ref="A133:E133"/>
    <mergeCell ref="A82:E82"/>
    <mergeCell ref="A22:E22"/>
    <mergeCell ref="A28:E28"/>
    <mergeCell ref="A37:E37"/>
    <mergeCell ref="A43:E43"/>
    <mergeCell ref="B51:E51"/>
    <mergeCell ref="A52:E52"/>
    <mergeCell ref="A59:E59"/>
    <mergeCell ref="B66:E66"/>
    <mergeCell ref="A67:E67"/>
    <mergeCell ref="A74:E74"/>
    <mergeCell ref="B81:E81"/>
    <mergeCell ref="A15:E15"/>
    <mergeCell ref="A1:E1"/>
    <mergeCell ref="A3:E3"/>
    <mergeCell ref="A5:E6"/>
    <mergeCell ref="B14:E14"/>
    <mergeCell ref="A8:E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9" orientation="portrait" r:id="rId1"/>
  <headerFooter>
    <oddHeader>&amp;L&amp;"Times New Roman,Normal"Procédure n°2021-15</oddHeader>
    <oddFooter>&amp;C&amp;"Times New Roman,Normal"&amp;P/&amp;N</oddFooter>
  </headerFooter>
  <rowBreaks count="2" manualBreakCount="2">
    <brk id="65" max="4" man="1"/>
    <brk id="110" max="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74381A5B72B74BA32FF64106DEAA6B" ma:contentTypeVersion="13" ma:contentTypeDescription="Crée un document." ma:contentTypeScope="" ma:versionID="3a3c93834e889b535031a3b75ce23b9e">
  <xsd:schema xmlns:xsd="http://www.w3.org/2001/XMLSchema" xmlns:xs="http://www.w3.org/2001/XMLSchema" xmlns:p="http://schemas.microsoft.com/office/2006/metadata/properties" xmlns:ns2="297bece8-88b0-4fcd-829e-0224625d5c37" xmlns:ns3="81705829-3d1c-4a2b-99cd-dab59a74f258" targetNamespace="http://schemas.microsoft.com/office/2006/metadata/properties" ma:root="true" ma:fieldsID="3bb124907bc12b87b7ba5eba973773f4" ns2:_="" ns3:_="">
    <xsd:import namespace="297bece8-88b0-4fcd-829e-0224625d5c37"/>
    <xsd:import namespace="81705829-3d1c-4a2b-99cd-dab59a74f2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bece8-88b0-4fcd-829e-0224625d5c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ac356484-eb58-4e7a-aa94-dfcee7a44a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05829-3d1c-4a2b-99cd-dab59a74f25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edeb4fd-862a-4d6c-8e3f-8e88899ade6d}" ma:internalName="TaxCatchAll" ma:showField="CatchAllData" ma:web="81705829-3d1c-4a2b-99cd-dab59a74f2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7bece8-88b0-4fcd-829e-0224625d5c37">
      <Terms xmlns="http://schemas.microsoft.com/office/infopath/2007/PartnerControls"/>
    </lcf76f155ced4ddcb4097134ff3c332f>
    <TaxCatchAll xmlns="81705829-3d1c-4a2b-99cd-dab59a74f258" xsi:nil="true"/>
  </documentManagement>
</p:properties>
</file>

<file path=customXml/itemProps1.xml><?xml version="1.0" encoding="utf-8"?>
<ds:datastoreItem xmlns:ds="http://schemas.openxmlformats.org/officeDocument/2006/customXml" ds:itemID="{40321D0A-0973-438D-BD6E-E8E5064E89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C9D189-9E57-4794-AA73-3A0FA4BB82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7bece8-88b0-4fcd-829e-0224625d5c37"/>
    <ds:schemaRef ds:uri="81705829-3d1c-4a2b-99cd-dab59a74f2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126CAB-1FCB-47ED-9EC5-177C0B8D8252}">
  <ds:schemaRefs>
    <ds:schemaRef ds:uri="http://schemas.microsoft.com/office/2006/metadata/properties"/>
    <ds:schemaRef ds:uri="http://schemas.microsoft.com/office/infopath/2007/PartnerControls"/>
    <ds:schemaRef ds:uri="e4d66356-7488-47e4-b98c-5bf8d648d1c7"/>
    <ds:schemaRef ds:uri="15262311-7169-4b2f-9616-d03c03b42d0f"/>
    <ds:schemaRef ds:uri="297bece8-88b0-4fcd-829e-0224625d5c37"/>
    <ds:schemaRef ds:uri="81705829-3d1c-4a2b-99cd-dab59a74f2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BPU Lot 1 Nord PVM GONDOIRE</vt:lpstr>
      <vt:lpstr>BPU Lot 2 Centre-SENART</vt:lpstr>
      <vt:lpstr>BPU Lot 3 Sud – MELUN VDS</vt:lpstr>
      <vt:lpstr>'BPU Lot 1 Nord PVM GONDOIRE'!Zone_d_impression</vt:lpstr>
      <vt:lpstr>'BPU Lot 2 Centre-SENART'!Zone_d_impression</vt:lpstr>
      <vt:lpstr>'BPU Lot 3 Sud – MELUN VDS'!Zone_d_impression</vt:lpstr>
    </vt:vector>
  </TitlesOfParts>
  <Manager/>
  <Company>OPH77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Quentin Besnou</dc:creator>
  <cp:keywords/>
  <dc:description/>
  <cp:lastModifiedBy>Fares ALLECHE</cp:lastModifiedBy>
  <cp:revision/>
  <dcterms:created xsi:type="dcterms:W3CDTF">2013-10-14T09:08:27Z</dcterms:created>
  <dcterms:modified xsi:type="dcterms:W3CDTF">2026-03-17T09:26:02Z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cf76f155ced4ddcb4097134ff3c332f">
    <vt:lpwstr/>
  </property>
  <property fmtid="{D5CDD505-2E9C-101B-9397-08002B2CF9AE}" pid="3" name="TaxCatchAll">
    <vt:lpwstr/>
  </property>
  <property fmtid="{D5CDD505-2E9C-101B-9397-08002B2CF9AE}" pid="4" name="ContentTypeId">
    <vt:lpwstr>0x0101006774381A5B72B74BA32FF64106DEAA6B</vt:lpwstr>
  </property>
  <property fmtid="{D5CDD505-2E9C-101B-9397-08002B2CF9AE}" pid="5" name="MediaServiceImageTags">
    <vt:lpwstr/>
  </property>
</Properties>
</file>