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ev0000-my.sharepoint.com/personal/s_vanyan_ar-ev_fr/Documents/Bureau/amiante oph auberviller/"/>
    </mc:Choice>
  </mc:AlternateContent>
  <xr:revisionPtr revIDLastSave="8" documentId="8_{C9137CE8-156F-4946-824F-38E099E9AEAC}" xr6:coauthVersionLast="47" xr6:coauthVersionMax="47" xr10:uidLastSave="{E9223E85-96A8-4A9B-BADF-CC18221F1D5E}"/>
  <bookViews>
    <workbookView xWindow="28680" yWindow="-120" windowWidth="29040" windowHeight="15720" xr2:uid="{00000000-000D-0000-FFFF-FFFF00000000}"/>
  </bookViews>
  <sheets>
    <sheet name="BPU LOT2" sheetId="29" r:id="rId1"/>
    <sheet name="DQE LOT2" sheetId="31" r:id="rId2"/>
  </sheets>
  <definedNames>
    <definedName name="_xlnm.Print_Area" localSheetId="0">'BPU LOT2'!$A$1:$G$115</definedName>
    <definedName name="_xlnm.Print_Area" localSheetId="1">'DQE LOT2'!$A$1:$I$115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13" i="31" l="1"/>
  <c r="I98" i="31"/>
  <c r="I99" i="31"/>
  <c r="I100" i="31"/>
  <c r="I101" i="31"/>
  <c r="I102" i="31"/>
  <c r="I103" i="31"/>
  <c r="I104" i="31"/>
  <c r="I105" i="31"/>
  <c r="I106" i="31"/>
  <c r="I107" i="31"/>
  <c r="I108" i="31"/>
  <c r="I109" i="31"/>
  <c r="I110" i="31"/>
  <c r="I111" i="31"/>
  <c r="I97" i="31"/>
  <c r="I81" i="31"/>
  <c r="I82" i="31"/>
  <c r="I83" i="31"/>
  <c r="I84" i="31"/>
  <c r="I85" i="31"/>
  <c r="I86" i="31"/>
  <c r="I87" i="31"/>
  <c r="I88" i="31"/>
  <c r="I89" i="31"/>
  <c r="I90" i="31"/>
  <c r="I91" i="31"/>
  <c r="I92" i="31"/>
  <c r="I93" i="31"/>
  <c r="I94" i="31"/>
  <c r="I80" i="31"/>
  <c r="I60" i="31"/>
  <c r="I61" i="31"/>
  <c r="I62" i="31"/>
  <c r="I63" i="31"/>
  <c r="I64" i="31"/>
  <c r="I65" i="31"/>
  <c r="I66" i="31"/>
  <c r="I67" i="31"/>
  <c r="I68" i="31"/>
  <c r="I69" i="31"/>
  <c r="I70" i="31"/>
  <c r="I71" i="31"/>
  <c r="I72" i="31"/>
  <c r="I73" i="31"/>
  <c r="I59" i="31"/>
  <c r="I51" i="31"/>
  <c r="I50" i="31"/>
  <c r="I49" i="31"/>
  <c r="I16" i="31"/>
  <c r="I30" i="31"/>
  <c r="I31" i="31"/>
  <c r="I32" i="31"/>
  <c r="I33" i="31"/>
  <c r="I34" i="31"/>
  <c r="I35" i="31"/>
  <c r="I36" i="31"/>
  <c r="I37" i="31"/>
  <c r="I38" i="31"/>
  <c r="I39" i="31"/>
  <c r="I40" i="31"/>
  <c r="I41" i="31"/>
  <c r="I42" i="31"/>
  <c r="I43" i="31"/>
  <c r="I44" i="31"/>
  <c r="I29" i="31"/>
  <c r="I28" i="31"/>
  <c r="I18" i="31"/>
  <c r="I19" i="31"/>
  <c r="I20" i="31"/>
  <c r="I21" i="31"/>
  <c r="I17" i="31"/>
  <c r="I7" i="31"/>
  <c r="I8" i="31"/>
  <c r="I9" i="31"/>
  <c r="I10" i="31"/>
  <c r="I11" i="31"/>
  <c r="I12" i="31"/>
  <c r="I13" i="31"/>
  <c r="I14" i="31"/>
  <c r="I15" i="31"/>
  <c r="I6" i="31"/>
</calcChain>
</file>

<file path=xl/sharedStrings.xml><?xml version="1.0" encoding="utf-8"?>
<sst xmlns="http://schemas.openxmlformats.org/spreadsheetml/2006/main" count="609" uniqueCount="137">
  <si>
    <t>Désignation</t>
  </si>
  <si>
    <t>Unité</t>
  </si>
  <si>
    <t>de 1 à 5</t>
  </si>
  <si>
    <t>de 6 à 10</t>
  </si>
  <si>
    <t>N°</t>
  </si>
  <si>
    <t xml:space="preserve">Analyse d'un matériau en Microscopie Optique à Lumière Polarisée (MOLP) </t>
  </si>
  <si>
    <t>Analyse d'un matériau en Microscopie Electronique à Transmission (MET).</t>
  </si>
  <si>
    <t>l'unité</t>
  </si>
  <si>
    <t>plus de 10</t>
  </si>
  <si>
    <t>Prélèvement et analyse de la concentration acido-basique en plomb</t>
  </si>
  <si>
    <t>Prix unitaire en fonction du nombre commandé</t>
  </si>
  <si>
    <t>Code article</t>
  </si>
  <si>
    <t>Nombre de logements</t>
  </si>
  <si>
    <t>Nombre d'unités</t>
  </si>
  <si>
    <t>Prix unitaire en € H.T.</t>
  </si>
  <si>
    <t>Local ≤ 10 m²</t>
  </si>
  <si>
    <t>de 1 à 10</t>
  </si>
  <si>
    <t>Type de Logement</t>
  </si>
  <si>
    <t>Prix au logement en fonction du type de logement</t>
  </si>
  <si>
    <t>Réalisation du Diagnostic Amiante Avant Travaux : Parc de stationnement</t>
  </si>
  <si>
    <t>de 11 à 100</t>
  </si>
  <si>
    <t>Plus de 100</t>
  </si>
  <si>
    <t>Tranche de 100 logements supp</t>
  </si>
  <si>
    <t>Ensemble Immobilier :
≤ 20 logements</t>
  </si>
  <si>
    <t>Prix à l'ensemble immobilier en fonction du nombre de logements</t>
  </si>
  <si>
    <t>Inférieur à 100 places</t>
  </si>
  <si>
    <t>De 101 à 250 places</t>
  </si>
  <si>
    <t>Nombre de véhicules</t>
  </si>
  <si>
    <t>Supérieur à 251 places</t>
  </si>
  <si>
    <t>Prix unitaire en fonction du nombre de véhicules</t>
  </si>
  <si>
    <t>10 m² &lt; local ≤ 50 m²</t>
  </si>
  <si>
    <t>50 m² &lt; local ≤ 100 m²</t>
  </si>
  <si>
    <t>100 m² &lt; local ≤ 500 m²</t>
  </si>
  <si>
    <t>local &gt; 500 m²</t>
  </si>
  <si>
    <t>Ensemble Immobilier :
20 &lt; logements ≤ 50</t>
  </si>
  <si>
    <t>Ensemble Immobilier :
50 &lt; logements ≤ 150</t>
  </si>
  <si>
    <t>Ensemble Immobilier :
150 &lt; logements ≤ 300</t>
  </si>
  <si>
    <t>KLM027</t>
  </si>
  <si>
    <t>KLM028</t>
  </si>
  <si>
    <t>KLM029</t>
  </si>
  <si>
    <t>KLM030</t>
  </si>
  <si>
    <t>KLM031</t>
  </si>
  <si>
    <t>KLM032</t>
  </si>
  <si>
    <t>KLM056</t>
  </si>
  <si>
    <t>KLM057</t>
  </si>
  <si>
    <t>KLM058</t>
  </si>
  <si>
    <t>KLM079</t>
  </si>
  <si>
    <t>KLM080</t>
  </si>
  <si>
    <t>KLM081</t>
  </si>
  <si>
    <t>KLM082</t>
  </si>
  <si>
    <t>KLM083</t>
  </si>
  <si>
    <t>KLM084</t>
  </si>
  <si>
    <t>Ensemble immobilier par ESI</t>
  </si>
  <si>
    <t>§ CCTP</t>
  </si>
  <si>
    <t>-</t>
  </si>
  <si>
    <t>ANALYSES ET MESURES AMIANTE ET PLOMB</t>
  </si>
  <si>
    <t>X</t>
  </si>
  <si>
    <t>≤ 4 niveaux</t>
  </si>
  <si>
    <t xml:space="preserve">logement </t>
  </si>
  <si>
    <t>Repréage plomb avant travaux/démolition des parties privatives</t>
  </si>
  <si>
    <t>Repréage plomb avant travaux/démolition des parties communes</t>
  </si>
  <si>
    <t xml:space="preserve">Local </t>
  </si>
  <si>
    <t xml:space="preserve">Repérage plomb  :
Local technique / Commerce / ERP / Local associatif / Local administratif de l'OPH  / Loge gardien / Chaufferie / sous station </t>
  </si>
  <si>
    <t>Repérage plomb avant travaux/démolition enveloppe extérieur : Façade, toitutre, parking, extérieur jusqu'en limite de parcelle cadastrale</t>
  </si>
  <si>
    <t>Par bâtiment</t>
  </si>
  <si>
    <t>Prix unitaire en fonction du nombre de prélèvements</t>
  </si>
  <si>
    <t>Analyse HAP des enrobés</t>
  </si>
  <si>
    <t>PRESTATIONS CONNEXES AMIANTE ET PLOMB</t>
  </si>
  <si>
    <t>Examens visuels des surfaces traitées après travaux compris déplacement et livrables</t>
  </si>
  <si>
    <t>par zone contrôlée</t>
  </si>
  <si>
    <t>Etape 1 : avant déconfinement</t>
  </si>
  <si>
    <t>Etape 2 après déconfinement</t>
  </si>
  <si>
    <t>Stratégie d'échantillonnage de mesures d'empoussièrement de l'air en fibres d'amiante (tout contexte)</t>
  </si>
  <si>
    <t>Par stratégie</t>
  </si>
  <si>
    <t>Par mesure</t>
  </si>
  <si>
    <t>1 à 5</t>
  </si>
  <si>
    <t>6 à 10</t>
  </si>
  <si>
    <t>Supérieur à 10</t>
  </si>
  <si>
    <t>Test lingette plomb (compris prélèvements et déplacement, analyse et livrables)</t>
  </si>
  <si>
    <r>
      <t xml:space="preserve">Mesures d'empoussièrement de l'air en fibres d'amiante </t>
    </r>
    <r>
      <rPr>
        <b/>
        <sz val="10"/>
        <rFont val="Arial"/>
        <family val="2"/>
      </rPr>
      <t>avec analyse RUSH 24h</t>
    </r>
    <r>
      <rPr>
        <sz val="10"/>
        <rFont val="Arial"/>
        <family val="2"/>
      </rPr>
      <t xml:space="preserve"> (compris Pose d'une pompe, mesure, livraison des résultats COFRAC, livrables, accessoires (batteries, ventilateurs, sécurisation, etc.)</t>
    </r>
  </si>
  <si>
    <r>
      <t xml:space="preserve">Mesures d'empoussièrement de l'air en fibres d'amiante </t>
    </r>
    <r>
      <rPr>
        <b/>
        <sz val="10"/>
        <rFont val="Arial"/>
        <family val="2"/>
      </rPr>
      <t>avec délais d'analyses normales</t>
    </r>
    <r>
      <rPr>
        <sz val="10"/>
        <rFont val="Arial"/>
        <family val="2"/>
      </rPr>
      <t xml:space="preserve"> (compris Pose d'une pompe mesure, livraison des résultats COFRAC, livrables, accessoires (batteries, ventilateurs, sécurisation, etc.)</t>
    </r>
  </si>
  <si>
    <t>Test lingette amiante (compris prélèvements et déplacement, analyse et livrables)</t>
  </si>
  <si>
    <t xml:space="preserve">Repérage amiante avant travaux/démolition (compris estimation des quantités des matériaux et produits contenant de l'amiante)  :
Local technique / Commerce / ERP / Local associatif / Local administratif de l'OPH  / Loge gardien / Chaufferie / sous station </t>
  </si>
  <si>
    <t>Repérage amiante avant travaux/démolition trémie d'ascenseur y compris fosse, machinerie, etc.v(compris estimation des quantités des matériaux et produits contenant de l'amiante)</t>
  </si>
  <si>
    <t>jour</t>
  </si>
  <si>
    <t>1/2 journée</t>
  </si>
  <si>
    <t>Journée</t>
  </si>
  <si>
    <t xml:space="preserve">Mise à disposition d'un menuisier/façadier habilité sous-section 4 CT </t>
  </si>
  <si>
    <r>
      <rPr>
        <b/>
        <sz val="10"/>
        <rFont val="Arial"/>
        <family val="2"/>
      </rPr>
      <t>ACCORD CADRE MONO-ATTRIBUTAIRE PAR LOT A BONS DE COMMANDE</t>
    </r>
    <r>
      <rPr>
        <sz val="10"/>
        <rFont val="Arial"/>
        <family val="2"/>
      </rPr>
      <t xml:space="preserve">
BORDEREAU DE PRIX UNITAIRES (BPU)
</t>
    </r>
    <r>
      <rPr>
        <b/>
        <sz val="10"/>
        <rFont val="Arial"/>
        <family val="2"/>
      </rPr>
      <t>LOT N°02</t>
    </r>
    <r>
      <rPr>
        <sz val="10"/>
        <rFont val="Arial"/>
        <family val="2"/>
      </rPr>
      <t xml:space="preserve"> -  Missions de repérage amiante et plomb avant et après travaux de réhabilitation ou démolition sur l’ensemble du patrimoine de OPH AUBERVILLIER - RAAT/RPAT – RAAD/RPAD – ENROBE – AIR - LINGETTES - EX.VISUEL </t>
    </r>
  </si>
  <si>
    <t>RAPPORT DE REPERAGE PLOMB AVANT TRAVAUX/DEMOLITION - RPAT / RPAD</t>
  </si>
  <si>
    <t>DEMANDES SPECIFIQUES</t>
  </si>
  <si>
    <t xml:space="preserve">Plus values pour intervention urgente sur site sous 48h maximum après la demande et remise du livrable sous 72h </t>
  </si>
  <si>
    <t>Ens</t>
  </si>
  <si>
    <t>heure</t>
  </si>
  <si>
    <t xml:space="preserve">Plus valuers Intervention en horaire décalé - Nuits et weekend </t>
  </si>
  <si>
    <t>§ CTTP</t>
  </si>
  <si>
    <t xml:space="preserve">Ensemble Immobilier par ESI </t>
  </si>
  <si>
    <t>§CCTP</t>
  </si>
  <si>
    <t>7.8</t>
  </si>
  <si>
    <t>7.9</t>
  </si>
  <si>
    <t>7.10</t>
  </si>
  <si>
    <t>7.11</t>
  </si>
  <si>
    <t>Analyse amiante (liant+granulat) des enrobés</t>
  </si>
  <si>
    <t>Mise à disposition d'une nacelle avec chauffeur formé et habilité - jusqu'à 22 m</t>
  </si>
  <si>
    <t>Mise à disposition d'une nacelle avec chauffeur formé et habilité - entre 23 et 50 m</t>
  </si>
  <si>
    <t>Mise à disposition d'un étancheur habilité sous-section 4 CT</t>
  </si>
  <si>
    <t>Mise à disposition d'un cordiste habilité sous-section 4 CT</t>
  </si>
  <si>
    <t xml:space="preserve">Restitution d'un mission de repérage sur site </t>
  </si>
  <si>
    <t>8.8</t>
  </si>
  <si>
    <t>8.9</t>
  </si>
  <si>
    <t>8.10</t>
  </si>
  <si>
    <t>8.11</t>
  </si>
  <si>
    <t>8.12</t>
  </si>
  <si>
    <t>8.13</t>
  </si>
  <si>
    <t>8.14</t>
  </si>
  <si>
    <t>8.2</t>
  </si>
  <si>
    <t>8.1</t>
  </si>
  <si>
    <t>Repérage enrobé et réseaux enterrés
Parc de stationnement</t>
  </si>
  <si>
    <t>8.3</t>
  </si>
  <si>
    <t>4.2</t>
  </si>
  <si>
    <t>4.3</t>
  </si>
  <si>
    <t>4.2
8.3</t>
  </si>
  <si>
    <t>8.5</t>
  </si>
  <si>
    <t>8.4</t>
  </si>
  <si>
    <t>8.6</t>
  </si>
  <si>
    <t>8.7</t>
  </si>
  <si>
    <t xml:space="preserve">Les dispositions techniques et organisationnelles des parapgraphes 1 à 6 sont compris dans les prix unitaires indiqués ci-dessous. </t>
  </si>
  <si>
    <t xml:space="preserve">Repréage amiante avant travaux/démolition des parties privatives </t>
  </si>
  <si>
    <t>Repréage amiante avant travaux/démolition des parties communes</t>
  </si>
  <si>
    <t>Repérage amiante avant travaux/démolition enveloppe et extérieur : Façade, toitutre, parking, extérieur jusqu'en limite de parcelle cadastrale (compris estimation des quantités des matériaux et produits contenant de l'amiante)</t>
  </si>
  <si>
    <t>TOTAL
€ H.T.</t>
  </si>
  <si>
    <t>QTÉ estimative</t>
  </si>
  <si>
    <t>Forfait 8h</t>
  </si>
  <si>
    <t>TOTAL DQE € HT</t>
  </si>
  <si>
    <t>forfait 4h</t>
  </si>
  <si>
    <t>Ensemble immobilier par ESI (tous locaux intérieur confondu)</t>
  </si>
  <si>
    <r>
      <rPr>
        <b/>
        <sz val="10"/>
        <rFont val="Arial"/>
        <family val="2"/>
      </rPr>
      <t>ACCORD CADRE MONO-ATTRIBUTAIRE PAR LOT A BONS DE COMMANDE</t>
    </r>
    <r>
      <rPr>
        <sz val="10"/>
        <rFont val="Arial"/>
        <family val="2"/>
      </rPr>
      <t xml:space="preserve">
DEVIS QUANTITATIF ESTIMATIF (DQE)
</t>
    </r>
    <r>
      <rPr>
        <b/>
        <sz val="10"/>
        <rFont val="Arial"/>
        <family val="2"/>
      </rPr>
      <t>LOT N°02</t>
    </r>
    <r>
      <rPr>
        <sz val="10"/>
        <rFont val="Arial"/>
        <family val="2"/>
      </rPr>
      <t xml:space="preserve"> -  Missions de repérage amiante et plomb avant et après travaux de réhabilitation ou démolition sur l’ensemble du patrimoine de OPH AUBERVILLIERS - RAAT/RPAT – RAAD/RPAD – ENROBE – AIR - LINGETTES - EX.VISUEL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</si>
</sst>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sz val="16"/>
      <name val="Arial"/>
      <family val="2"/>
    </font>
    <font>
      <b/>
      <sz val="1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ADF0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1" fillId="0" borderId="0"/>
    <xf numFmtId="0" fontId="2" fillId="0" borderId="0"/>
  </cellStyleXfs>
  <cellXfs count="27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2" fillId="3" borderId="1" xfId="0" quotePrefix="1" applyFont="1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2" fontId="0" fillId="0" borderId="13" xfId="0" applyNumberFormat="1" applyBorder="1" applyAlignment="1">
      <alignment horizontal="center" vertical="center" wrapText="1"/>
    </xf>
    <xf numFmtId="1" fontId="3" fillId="0" borderId="16" xfId="0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2" fontId="3" fillId="5" borderId="24" xfId="0" applyNumberFormat="1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vertical="center" wrapText="1"/>
    </xf>
    <xf numFmtId="0" fontId="2" fillId="0" borderId="0" xfId="3"/>
    <xf numFmtId="0" fontId="2" fillId="0" borderId="0" xfId="3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0" fontId="3" fillId="5" borderId="1" xfId="3" applyFont="1" applyFill="1" applyBorder="1" applyAlignment="1">
      <alignment horizontal="center" vertical="center" wrapText="1"/>
    </xf>
    <xf numFmtId="0" fontId="2" fillId="3" borderId="1" xfId="3" applyFill="1" applyBorder="1" applyAlignment="1">
      <alignment horizontal="center" vertical="center" wrapText="1"/>
    </xf>
    <xf numFmtId="0" fontId="2" fillId="5" borderId="1" xfId="3" applyFill="1" applyBorder="1" applyAlignment="1">
      <alignment horizontal="center" vertical="center" wrapText="1"/>
    </xf>
    <xf numFmtId="0" fontId="2" fillId="3" borderId="1" xfId="3" quotePrefix="1" applyFill="1" applyBorder="1" applyAlignment="1">
      <alignment horizontal="center" vertical="center" wrapText="1"/>
    </xf>
    <xf numFmtId="0" fontId="2" fillId="0" borderId="13" xfId="3" applyBorder="1"/>
    <xf numFmtId="0" fontId="2" fillId="0" borderId="13" xfId="3" applyBorder="1" applyAlignment="1">
      <alignment horizontal="center" vertical="center" wrapText="1"/>
    </xf>
    <xf numFmtId="0" fontId="3" fillId="0" borderId="16" xfId="3" applyFont="1" applyBorder="1" applyAlignment="1">
      <alignment horizontal="center" vertical="center" wrapText="1"/>
    </xf>
    <xf numFmtId="0" fontId="3" fillId="0" borderId="6" xfId="3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 wrapText="1"/>
    </xf>
    <xf numFmtId="0" fontId="2" fillId="0" borderId="0" xfId="3" applyAlignment="1">
      <alignment vertical="center" wrapText="1"/>
    </xf>
    <xf numFmtId="2" fontId="3" fillId="4" borderId="1" xfId="3" applyNumberFormat="1" applyFont="1" applyFill="1" applyBorder="1" applyAlignment="1">
      <alignment horizontal="center" vertical="center" wrapText="1"/>
    </xf>
    <xf numFmtId="0" fontId="3" fillId="0" borderId="0" xfId="3" applyFont="1" applyAlignment="1">
      <alignment vertical="center" wrapText="1"/>
    </xf>
    <xf numFmtId="0" fontId="3" fillId="0" borderId="13" xfId="3" applyFont="1" applyBorder="1" applyAlignment="1">
      <alignment horizontal="left" vertical="center" wrapText="1"/>
    </xf>
    <xf numFmtId="0" fontId="2" fillId="0" borderId="15" xfId="3" applyBorder="1" applyAlignment="1">
      <alignment horizontal="center" vertical="center" wrapText="1"/>
    </xf>
    <xf numFmtId="0" fontId="2" fillId="0" borderId="3" xfId="3" applyBorder="1" applyAlignment="1">
      <alignment horizontal="center" vertical="center" wrapText="1"/>
    </xf>
    <xf numFmtId="0" fontId="2" fillId="0" borderId="4" xfId="3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2" fillId="7" borderId="7" xfId="3" applyFill="1" applyBorder="1" applyAlignment="1">
      <alignment horizontal="center" vertical="center" wrapText="1"/>
    </xf>
    <xf numFmtId="0" fontId="3" fillId="0" borderId="3" xfId="3" applyFont="1" applyBorder="1" applyAlignment="1">
      <alignment horizontal="center" vertical="center" wrapText="1"/>
    </xf>
    <xf numFmtId="0" fontId="3" fillId="0" borderId="7" xfId="3" applyFont="1" applyBorder="1" applyAlignment="1">
      <alignment horizontal="center" vertical="center" wrapText="1"/>
    </xf>
    <xf numFmtId="0" fontId="2" fillId="4" borderId="16" xfId="3" applyFill="1" applyBorder="1" applyAlignment="1">
      <alignment horizontal="center" vertical="center" wrapText="1"/>
    </xf>
    <xf numFmtId="0" fontId="2" fillId="4" borderId="1" xfId="3" applyFill="1" applyBorder="1" applyAlignment="1">
      <alignment horizontal="center" vertical="center" wrapText="1"/>
    </xf>
    <xf numFmtId="2" fontId="3" fillId="5" borderId="1" xfId="3" applyNumberFormat="1" applyFont="1" applyFill="1" applyBorder="1" applyAlignment="1">
      <alignment horizontal="center" vertical="center" wrapText="1"/>
    </xf>
    <xf numFmtId="0" fontId="2" fillId="2" borderId="1" xfId="3" applyFill="1" applyBorder="1" applyAlignment="1">
      <alignment horizontal="center" vertical="center" wrapText="1"/>
    </xf>
    <xf numFmtId="0" fontId="2" fillId="2" borderId="16" xfId="3" applyFill="1" applyBorder="1" applyAlignment="1">
      <alignment horizontal="center" vertical="center" wrapText="1"/>
    </xf>
    <xf numFmtId="0" fontId="3" fillId="5" borderId="8" xfId="3" applyFont="1" applyFill="1" applyBorder="1" applyAlignment="1">
      <alignment horizontal="center" vertical="center" wrapText="1"/>
    </xf>
    <xf numFmtId="0" fontId="2" fillId="3" borderId="16" xfId="3" applyFill="1" applyBorder="1" applyAlignment="1">
      <alignment horizontal="center" vertical="center" wrapText="1"/>
    </xf>
    <xf numFmtId="0" fontId="2" fillId="0" borderId="18" xfId="3" applyBorder="1" applyAlignment="1">
      <alignment horizontal="center" vertical="center" wrapText="1"/>
    </xf>
    <xf numFmtId="0" fontId="2" fillId="0" borderId="4" xfId="3" applyBorder="1" applyAlignment="1">
      <alignment horizontal="left" vertical="center" wrapText="1"/>
    </xf>
    <xf numFmtId="2" fontId="2" fillId="0" borderId="13" xfId="3" applyNumberFormat="1" applyBorder="1" applyAlignment="1">
      <alignment horizontal="center" vertical="center" wrapText="1"/>
    </xf>
    <xf numFmtId="1" fontId="3" fillId="0" borderId="7" xfId="3" applyNumberFormat="1" applyFont="1" applyBorder="1" applyAlignment="1">
      <alignment horizontal="center" vertical="center" wrapText="1"/>
    </xf>
    <xf numFmtId="0" fontId="8" fillId="0" borderId="0" xfId="3" applyFont="1"/>
    <xf numFmtId="0" fontId="2" fillId="0" borderId="28" xfId="3" applyBorder="1" applyAlignment="1">
      <alignment horizontal="center" vertical="center" wrapText="1"/>
    </xf>
    <xf numFmtId="0" fontId="3" fillId="0" borderId="28" xfId="3" applyFont="1" applyBorder="1" applyAlignment="1">
      <alignment horizontal="center" vertical="center" wrapText="1"/>
    </xf>
    <xf numFmtId="0" fontId="3" fillId="0" borderId="27" xfId="3" applyFont="1" applyBorder="1" applyAlignment="1">
      <alignment horizontal="center" vertical="center" wrapText="1"/>
    </xf>
    <xf numFmtId="0" fontId="3" fillId="0" borderId="12" xfId="3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 wrapText="1"/>
    </xf>
    <xf numFmtId="2" fontId="3" fillId="5" borderId="24" xfId="3" applyNumberFormat="1" applyFont="1" applyFill="1" applyBorder="1" applyAlignment="1">
      <alignment horizontal="center" vertical="center" wrapText="1"/>
    </xf>
    <xf numFmtId="0" fontId="2" fillId="3" borderId="24" xfId="3" applyFill="1" applyBorder="1" applyAlignment="1">
      <alignment horizontal="center" vertical="center" wrapText="1"/>
    </xf>
    <xf numFmtId="0" fontId="3" fillId="5" borderId="14" xfId="3" applyFont="1" applyFill="1" applyBorder="1" applyAlignment="1">
      <alignment horizontal="center" vertical="center" wrapText="1"/>
    </xf>
    <xf numFmtId="0" fontId="3" fillId="0" borderId="12" xfId="3" applyFont="1" applyBorder="1" applyAlignment="1">
      <alignment horizontal="left" vertical="center" wrapText="1"/>
    </xf>
    <xf numFmtId="0" fontId="3" fillId="0" borderId="19" xfId="3" applyFont="1" applyBorder="1" applyAlignment="1">
      <alignment horizontal="center" vertical="center" wrapText="1"/>
    </xf>
    <xf numFmtId="0" fontId="3" fillId="0" borderId="17" xfId="3" applyFont="1" applyBorder="1" applyAlignment="1">
      <alignment horizontal="center" vertical="center" wrapText="1"/>
    </xf>
    <xf numFmtId="0" fontId="2" fillId="7" borderId="1" xfId="3" applyFill="1" applyBorder="1" applyAlignment="1">
      <alignment horizontal="center" vertical="center" wrapText="1"/>
    </xf>
    <xf numFmtId="0" fontId="2" fillId="6" borderId="16" xfId="3" applyFill="1" applyBorder="1" applyAlignment="1">
      <alignment horizontal="center" vertical="center" wrapText="1"/>
    </xf>
    <xf numFmtId="0" fontId="2" fillId="6" borderId="5" xfId="3" applyFill="1" applyBorder="1" applyAlignment="1">
      <alignment horizontal="center" vertical="center" wrapText="1"/>
    </xf>
    <xf numFmtId="0" fontId="2" fillId="6" borderId="1" xfId="3" applyFill="1" applyBorder="1" applyAlignment="1">
      <alignment horizontal="center" vertical="center" wrapText="1"/>
    </xf>
    <xf numFmtId="0" fontId="2" fillId="6" borderId="6" xfId="3" applyFill="1" applyBorder="1" applyAlignment="1">
      <alignment horizontal="center" vertical="center" wrapText="1"/>
    </xf>
    <xf numFmtId="0" fontId="2" fillId="0" borderId="0" xfId="3" applyAlignment="1">
      <alignment horizontal="center"/>
    </xf>
    <xf numFmtId="0" fontId="2" fillId="0" borderId="1" xfId="3" applyBorder="1" applyAlignment="1">
      <alignment horizontal="center"/>
    </xf>
    <xf numFmtId="0" fontId="2" fillId="0" borderId="0" xfId="3" applyAlignment="1">
      <alignment horizontal="center" vertical="center"/>
    </xf>
    <xf numFmtId="0" fontId="2" fillId="0" borderId="1" xfId="3" applyBorder="1" applyAlignment="1">
      <alignment horizontal="center" vertical="center"/>
    </xf>
    <xf numFmtId="2" fontId="2" fillId="0" borderId="0" xfId="3" applyNumberFormat="1" applyAlignment="1">
      <alignment horizontal="center" vertical="center" wrapText="1"/>
    </xf>
    <xf numFmtId="0" fontId="3" fillId="0" borderId="0" xfId="3" applyFont="1" applyAlignment="1">
      <alignment horizontal="left" vertical="center" wrapText="1"/>
    </xf>
    <xf numFmtId="0" fontId="2" fillId="3" borderId="36" xfId="3" applyFill="1" applyBorder="1" applyAlignment="1">
      <alignment horizontal="center" vertical="center" wrapText="1"/>
    </xf>
    <xf numFmtId="0" fontId="2" fillId="3" borderId="37" xfId="3" applyFill="1" applyBorder="1" applyAlignment="1">
      <alignment horizontal="center" vertical="center" wrapText="1"/>
    </xf>
    <xf numFmtId="0" fontId="2" fillId="0" borderId="16" xfId="3" applyBorder="1" applyAlignment="1">
      <alignment horizontal="center" vertical="center"/>
    </xf>
    <xf numFmtId="0" fontId="2" fillId="0" borderId="26" xfId="3" applyBorder="1" applyAlignment="1">
      <alignment horizontal="center" vertical="center"/>
    </xf>
    <xf numFmtId="0" fontId="2" fillId="0" borderId="0" xfId="3" applyAlignment="1">
      <alignment horizontal="left" vertical="center" wrapText="1"/>
    </xf>
    <xf numFmtId="0" fontId="2" fillId="0" borderId="13" xfId="3" applyBorder="1" applyAlignment="1">
      <alignment horizontal="center" vertical="center"/>
    </xf>
    <xf numFmtId="0" fontId="3" fillId="0" borderId="25" xfId="3" applyFont="1" applyBorder="1" applyAlignment="1">
      <alignment horizontal="center" vertical="center" wrapText="1"/>
    </xf>
    <xf numFmtId="0" fontId="2" fillId="0" borderId="24" xfId="3" applyBorder="1" applyAlignment="1">
      <alignment horizontal="center"/>
    </xf>
    <xf numFmtId="0" fontId="3" fillId="0" borderId="1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6" borderId="20" xfId="0" applyFont="1" applyFill="1" applyBorder="1" applyAlignment="1">
      <alignment horizontal="center" vertical="center" wrapText="1"/>
    </xf>
    <xf numFmtId="0" fontId="3" fillId="6" borderId="21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5" borderId="1" xfId="3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5" borderId="7" xfId="3" applyFill="1" applyBorder="1" applyAlignment="1">
      <alignment horizontal="center" vertical="center" wrapText="1"/>
    </xf>
    <xf numFmtId="0" fontId="2" fillId="5" borderId="2" xfId="3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2" fillId="0" borderId="5" xfId="0" quotePrefix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5" borderId="23" xfId="0" applyFont="1" applyFill="1" applyBorder="1" applyAlignment="1">
      <alignment horizontal="center" vertical="center" wrapText="1"/>
    </xf>
    <xf numFmtId="0" fontId="0" fillId="5" borderId="24" xfId="0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33" xfId="0" applyFont="1" applyBorder="1" applyAlignment="1">
      <alignment horizontal="left" vertical="center" wrapText="1"/>
    </xf>
    <xf numFmtId="0" fontId="8" fillId="0" borderId="34" xfId="0" applyFont="1" applyBorder="1" applyAlignment="1">
      <alignment horizontal="left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5" borderId="14" xfId="3" applyFont="1" applyFill="1" applyBorder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0" fontId="3" fillId="0" borderId="12" xfId="3" applyFont="1" applyBorder="1" applyAlignment="1">
      <alignment horizontal="left" vertical="center" wrapText="1"/>
    </xf>
    <xf numFmtId="0" fontId="3" fillId="0" borderId="0" xfId="3" applyFont="1" applyAlignment="1">
      <alignment horizontal="left" vertical="center" wrapText="1"/>
    </xf>
    <xf numFmtId="0" fontId="3" fillId="0" borderId="13" xfId="3" applyFont="1" applyBorder="1" applyAlignment="1">
      <alignment horizontal="left" vertical="center" wrapText="1"/>
    </xf>
    <xf numFmtId="0" fontId="3" fillId="0" borderId="5" xfId="3" applyFont="1" applyBorder="1" applyAlignment="1">
      <alignment horizontal="center" vertical="center" wrapText="1"/>
    </xf>
    <xf numFmtId="0" fontId="3" fillId="0" borderId="6" xfId="3" applyFont="1" applyBorder="1" applyAlignment="1">
      <alignment horizontal="center" vertical="center" wrapText="1"/>
    </xf>
    <xf numFmtId="0" fontId="3" fillId="5" borderId="20" xfId="3" applyFont="1" applyFill="1" applyBorder="1" applyAlignment="1">
      <alignment horizontal="center" vertical="center" wrapText="1"/>
    </xf>
    <xf numFmtId="0" fontId="3" fillId="5" borderId="21" xfId="3" applyFont="1" applyFill="1" applyBorder="1" applyAlignment="1">
      <alignment horizontal="center" vertical="center" wrapText="1"/>
    </xf>
    <xf numFmtId="0" fontId="3" fillId="0" borderId="29" xfId="3" applyFont="1" applyBorder="1" applyAlignment="1">
      <alignment horizontal="center" vertical="center" wrapText="1"/>
    </xf>
    <xf numFmtId="0" fontId="3" fillId="5" borderId="23" xfId="3" applyFont="1" applyFill="1" applyBorder="1" applyAlignment="1">
      <alignment horizontal="center" vertical="center" wrapText="1"/>
    </xf>
    <xf numFmtId="0" fontId="2" fillId="5" borderId="24" xfId="3" applyFill="1" applyBorder="1" applyAlignment="1">
      <alignment horizontal="center" vertical="center" wrapText="1"/>
    </xf>
    <xf numFmtId="0" fontId="2" fillId="5" borderId="5" xfId="3" applyFill="1" applyBorder="1" applyAlignment="1">
      <alignment horizontal="center" vertical="center" wrapText="1"/>
    </xf>
    <xf numFmtId="0" fontId="2" fillId="5" borderId="6" xfId="3" applyFill="1" applyBorder="1" applyAlignment="1">
      <alignment horizontal="center" vertical="center" wrapText="1"/>
    </xf>
    <xf numFmtId="0" fontId="10" fillId="0" borderId="30" xfId="3" applyFont="1" applyBorder="1" applyAlignment="1">
      <alignment horizontal="center" vertical="center" wrapText="1"/>
    </xf>
    <xf numFmtId="0" fontId="10" fillId="0" borderId="31" xfId="3" applyFont="1" applyBorder="1" applyAlignment="1">
      <alignment horizontal="center" vertical="center" wrapText="1"/>
    </xf>
    <xf numFmtId="0" fontId="10" fillId="0" borderId="12" xfId="3" applyFont="1" applyBorder="1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10" fillId="0" borderId="27" xfId="3" applyFont="1" applyBorder="1" applyAlignment="1">
      <alignment horizontal="center" vertical="center" wrapText="1"/>
    </xf>
    <xf numFmtId="0" fontId="10" fillId="0" borderId="28" xfId="3" applyFont="1" applyBorder="1" applyAlignment="1">
      <alignment horizontal="center" vertical="center" wrapText="1"/>
    </xf>
    <xf numFmtId="0" fontId="2" fillId="5" borderId="8" xfId="3" applyFill="1" applyBorder="1" applyAlignment="1">
      <alignment horizontal="center" vertical="center" wrapText="1"/>
    </xf>
    <xf numFmtId="0" fontId="3" fillId="5" borderId="5" xfId="3" applyFont="1" applyFill="1" applyBorder="1" applyAlignment="1">
      <alignment horizontal="center" vertical="center" wrapText="1"/>
    </xf>
    <xf numFmtId="0" fontId="3" fillId="5" borderId="6" xfId="3" applyFont="1" applyFill="1" applyBorder="1" applyAlignment="1">
      <alignment horizontal="center" vertical="center" wrapText="1"/>
    </xf>
    <xf numFmtId="0" fontId="3" fillId="0" borderId="8" xfId="3" applyFont="1" applyBorder="1" applyAlignment="1">
      <alignment horizontal="center" vertical="center" wrapText="1"/>
    </xf>
    <xf numFmtId="0" fontId="3" fillId="0" borderId="30" xfId="3" applyFont="1" applyBorder="1" applyAlignment="1">
      <alignment horizontal="center" vertical="center" wrapText="1"/>
    </xf>
    <xf numFmtId="0" fontId="3" fillId="0" borderId="31" xfId="3" applyFont="1" applyBorder="1" applyAlignment="1">
      <alignment horizontal="center" vertical="center" wrapText="1"/>
    </xf>
    <xf numFmtId="0" fontId="3" fillId="6" borderId="5" xfId="3" applyFont="1" applyFill="1" applyBorder="1" applyAlignment="1">
      <alignment horizontal="center" vertical="center" wrapText="1"/>
    </xf>
    <xf numFmtId="0" fontId="3" fillId="6" borderId="6" xfId="3" applyFont="1" applyFill="1" applyBorder="1" applyAlignment="1">
      <alignment horizontal="center" vertical="center" wrapText="1"/>
    </xf>
    <xf numFmtId="0" fontId="3" fillId="2" borderId="1" xfId="3" applyFont="1" applyFill="1" applyBorder="1" applyAlignment="1">
      <alignment horizontal="center" vertical="center" wrapText="1"/>
    </xf>
    <xf numFmtId="0" fontId="3" fillId="2" borderId="7" xfId="3" applyFont="1" applyFill="1" applyBorder="1" applyAlignment="1">
      <alignment horizontal="center" vertical="center" wrapText="1"/>
    </xf>
    <xf numFmtId="0" fontId="3" fillId="2" borderId="3" xfId="3" applyFont="1" applyFill="1" applyBorder="1" applyAlignment="1">
      <alignment horizontal="center" vertical="center" wrapText="1"/>
    </xf>
    <xf numFmtId="0" fontId="3" fillId="2" borderId="15" xfId="3" applyFont="1" applyFill="1" applyBorder="1" applyAlignment="1">
      <alignment horizontal="center" vertical="center" wrapText="1"/>
    </xf>
    <xf numFmtId="0" fontId="3" fillId="0" borderId="14" xfId="3" applyFont="1" applyBorder="1" applyAlignment="1">
      <alignment horizontal="center" vertical="center" wrapText="1"/>
    </xf>
    <xf numFmtId="0" fontId="3" fillId="6" borderId="7" xfId="3" applyFont="1" applyFill="1" applyBorder="1" applyAlignment="1">
      <alignment horizontal="center" vertical="center" wrapText="1"/>
    </xf>
    <xf numFmtId="0" fontId="3" fillId="6" borderId="3" xfId="3" applyFont="1" applyFill="1" applyBorder="1" applyAlignment="1">
      <alignment horizontal="center" vertical="center" wrapText="1"/>
    </xf>
    <xf numFmtId="0" fontId="3" fillId="6" borderId="15" xfId="3" applyFont="1" applyFill="1" applyBorder="1" applyAlignment="1">
      <alignment horizontal="center" vertical="center" wrapText="1"/>
    </xf>
    <xf numFmtId="0" fontId="2" fillId="0" borderId="1" xfId="3" applyBorder="1" applyAlignment="1">
      <alignment horizontal="center" vertical="center" wrapText="1"/>
    </xf>
    <xf numFmtId="0" fontId="2" fillId="0" borderId="5" xfId="3" quotePrefix="1" applyBorder="1" applyAlignment="1">
      <alignment horizontal="center" vertical="center" wrapText="1"/>
    </xf>
    <xf numFmtId="0" fontId="2" fillId="0" borderId="8" xfId="3" applyBorder="1" applyAlignment="1">
      <alignment horizontal="center" vertical="center" wrapText="1"/>
    </xf>
    <xf numFmtId="0" fontId="2" fillId="0" borderId="6" xfId="3" applyBorder="1" applyAlignment="1">
      <alignment horizontal="center" vertical="center" wrapText="1"/>
    </xf>
    <xf numFmtId="0" fontId="3" fillId="5" borderId="8" xfId="3" applyFont="1" applyFill="1" applyBorder="1" applyAlignment="1">
      <alignment horizontal="center" vertical="center" wrapText="1"/>
    </xf>
    <xf numFmtId="0" fontId="3" fillId="5" borderId="22" xfId="3" applyFont="1" applyFill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 wrapText="1"/>
    </xf>
    <xf numFmtId="0" fontId="3" fillId="3" borderId="8" xfId="3" applyFont="1" applyFill="1" applyBorder="1" applyAlignment="1">
      <alignment horizontal="center" vertical="center" wrapText="1"/>
    </xf>
    <xf numFmtId="0" fontId="3" fillId="3" borderId="6" xfId="3" applyFont="1" applyFill="1" applyBorder="1" applyAlignment="1">
      <alignment horizontal="center" vertical="center" wrapText="1"/>
    </xf>
    <xf numFmtId="0" fontId="3" fillId="4" borderId="14" xfId="3" applyFont="1" applyFill="1" applyBorder="1" applyAlignment="1">
      <alignment horizontal="center" vertical="center" wrapText="1"/>
    </xf>
    <xf numFmtId="0" fontId="3" fillId="4" borderId="5" xfId="3" applyFont="1" applyFill="1" applyBorder="1" applyAlignment="1">
      <alignment horizontal="center" vertical="center" wrapText="1"/>
    </xf>
    <xf numFmtId="0" fontId="3" fillId="4" borderId="6" xfId="3" applyFont="1" applyFill="1" applyBorder="1" applyAlignment="1">
      <alignment horizontal="center" vertical="center" wrapText="1"/>
    </xf>
    <xf numFmtId="0" fontId="3" fillId="4" borderId="1" xfId="3" applyFont="1" applyFill="1" applyBorder="1" applyAlignment="1">
      <alignment horizontal="center" vertical="center" wrapText="1"/>
    </xf>
    <xf numFmtId="0" fontId="3" fillId="4" borderId="7" xfId="3" applyFont="1" applyFill="1" applyBorder="1" applyAlignment="1">
      <alignment horizontal="center" vertical="center" wrapText="1"/>
    </xf>
    <xf numFmtId="0" fontId="3" fillId="4" borderId="3" xfId="3" applyFont="1" applyFill="1" applyBorder="1" applyAlignment="1">
      <alignment horizontal="center" vertical="center" wrapText="1"/>
    </xf>
    <xf numFmtId="0" fontId="3" fillId="4" borderId="15" xfId="3" applyFont="1" applyFill="1" applyBorder="1" applyAlignment="1">
      <alignment horizontal="center" vertical="center" wrapText="1"/>
    </xf>
    <xf numFmtId="0" fontId="3" fillId="3" borderId="35" xfId="3" applyFont="1" applyFill="1" applyBorder="1" applyAlignment="1">
      <alignment horizontal="center" vertical="center" wrapText="1"/>
    </xf>
    <xf numFmtId="0" fontId="3" fillId="3" borderId="4" xfId="3" applyFont="1" applyFill="1" applyBorder="1" applyAlignment="1">
      <alignment horizontal="center" vertical="center" wrapText="1"/>
    </xf>
    <xf numFmtId="0" fontId="3" fillId="3" borderId="18" xfId="3" applyFont="1" applyFill="1" applyBorder="1" applyAlignment="1">
      <alignment horizontal="center" vertical="center" wrapText="1"/>
    </xf>
    <xf numFmtId="0" fontId="2" fillId="0" borderId="5" xfId="3" applyBorder="1" applyAlignment="1">
      <alignment horizontal="center" vertical="center" wrapText="1"/>
    </xf>
    <xf numFmtId="0" fontId="3" fillId="3" borderId="1" xfId="3" applyFont="1" applyFill="1" applyBorder="1" applyAlignment="1">
      <alignment horizontal="center" vertical="center" wrapText="1"/>
    </xf>
    <xf numFmtId="0" fontId="3" fillId="2" borderId="5" xfId="3" applyFont="1" applyFill="1" applyBorder="1" applyAlignment="1">
      <alignment horizontal="center" vertical="center" wrapText="1"/>
    </xf>
    <xf numFmtId="0" fontId="3" fillId="2" borderId="6" xfId="3" applyFont="1" applyFill="1" applyBorder="1" applyAlignment="1">
      <alignment horizontal="center" vertical="center" wrapText="1"/>
    </xf>
    <xf numFmtId="0" fontId="3" fillId="6" borderId="20" xfId="3" applyFont="1" applyFill="1" applyBorder="1" applyAlignment="1">
      <alignment horizontal="center" vertical="center" wrapText="1"/>
    </xf>
    <xf numFmtId="0" fontId="3" fillId="6" borderId="21" xfId="3" applyFont="1" applyFill="1" applyBorder="1" applyAlignment="1">
      <alignment horizontal="center" vertical="center" wrapText="1"/>
    </xf>
    <xf numFmtId="0" fontId="2" fillId="6" borderId="5" xfId="3" applyFill="1" applyBorder="1" applyAlignment="1">
      <alignment horizontal="center" vertical="center" wrapText="1"/>
    </xf>
    <xf numFmtId="0" fontId="2" fillId="6" borderId="6" xfId="3" applyFill="1" applyBorder="1" applyAlignment="1">
      <alignment horizontal="center" vertical="center" wrapText="1"/>
    </xf>
    <xf numFmtId="0" fontId="3" fillId="3" borderId="7" xfId="3" applyFont="1" applyFill="1" applyBorder="1" applyAlignment="1">
      <alignment horizontal="center" vertical="center" wrapText="1"/>
    </xf>
    <xf numFmtId="0" fontId="3" fillId="3" borderId="3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4" xfId="3" applyFont="1" applyFill="1" applyBorder="1" applyAlignment="1">
      <alignment horizontal="center" vertical="center" wrapText="1"/>
    </xf>
    <xf numFmtId="164" fontId="9" fillId="0" borderId="38" xfId="3" applyNumberFormat="1" applyFont="1" applyBorder="1" applyAlignment="1">
      <alignment horizontal="center" vertical="center"/>
    </xf>
    <xf numFmtId="164" fontId="9" fillId="0" borderId="39" xfId="3" applyNumberFormat="1" applyFont="1" applyBorder="1" applyAlignment="1">
      <alignment horizontal="center" vertical="center"/>
    </xf>
    <xf numFmtId="164" fontId="9" fillId="0" borderId="40" xfId="3" applyNumberFormat="1" applyFont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 wrapText="1"/>
    </xf>
    <xf numFmtId="0" fontId="2" fillId="0" borderId="0" xfId="3" applyAlignment="1">
      <alignment horizontal="center" vertical="center" wrapText="1"/>
    </xf>
    <xf numFmtId="0" fontId="8" fillId="0" borderId="9" xfId="3" applyFont="1" applyBorder="1" applyAlignment="1">
      <alignment horizontal="left" vertical="center" wrapText="1"/>
    </xf>
    <xf numFmtId="0" fontId="8" fillId="0" borderId="10" xfId="3" applyFont="1" applyBorder="1" applyAlignment="1">
      <alignment horizontal="left" vertical="center" wrapText="1"/>
    </xf>
    <xf numFmtId="0" fontId="8" fillId="0" borderId="11" xfId="3" applyFont="1" applyBorder="1" applyAlignment="1">
      <alignment horizontal="left" vertical="center" wrapText="1"/>
    </xf>
    <xf numFmtId="0" fontId="3" fillId="2" borderId="14" xfId="3" applyFont="1" applyFill="1" applyBorder="1" applyAlignment="1">
      <alignment horizontal="center" vertical="center" wrapText="1"/>
    </xf>
    <xf numFmtId="0" fontId="3" fillId="3" borderId="21" xfId="3" applyFont="1" applyFill="1" applyBorder="1" applyAlignment="1">
      <alignment horizontal="center" vertical="center" wrapText="1"/>
    </xf>
  </cellXfs>
  <cellStyles count="4">
    <cellStyle name="Euro" xfId="1" xr:uid="{00000000-0005-0000-0000-000000000000}"/>
    <cellStyle name="Normal" xfId="0" builtinId="0"/>
    <cellStyle name="Normal 2" xfId="2" xr:uid="{00000000-0005-0000-0000-000002000000}"/>
    <cellStyle name="Normal 3" xfId="3" xr:uid="{50798AED-88EE-4568-BC0D-92A4CD461440}"/>
  </cellStyles>
  <dxfs count="0"/>
  <tableStyles count="0" defaultTableStyle="TableStyleMedium2" defaultPivotStyle="PivotStyleLight16"/>
  <colors>
    <mruColors>
      <color rgb="FF1ADF0B"/>
      <color rgb="FFFFFFCC"/>
      <color rgb="FFFFFF99"/>
      <color rgb="FFA8A2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335413</xdr:colOff>
      <xdr:row>0</xdr:row>
      <xdr:rowOff>86405</xdr:rowOff>
    </xdr:from>
    <xdr:to>
      <xdr:col>2</xdr:col>
      <xdr:colOff>1664860</xdr:colOff>
      <xdr:row>0</xdr:row>
      <xdr:rowOff>1210176</xdr:rowOff>
    </xdr:to>
    <xdr:pic>
      <xdr:nvPicPr>
        <xdr:cNvPr id="3" name="Image 2" descr="Une image contenant texte, Graphique, Police, graphisme&#10;&#10;Le contenu généré par l’IA peut être incorrect.">
          <a:extLst>
            <a:ext uri="{FF2B5EF4-FFF2-40B4-BE49-F238E27FC236}">
              <a16:creationId xmlns:a16="http://schemas.microsoft.com/office/drawing/2014/main" id="{B985033B-CE77-48B6-8BB1-A9CCE1933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0842" y="290512"/>
          <a:ext cx="1896156" cy="11237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335413</xdr:colOff>
      <xdr:row>0</xdr:row>
      <xdr:rowOff>86405</xdr:rowOff>
    </xdr:from>
    <xdr:ext cx="1900947" cy="1123771"/>
    <xdr:pic>
      <xdr:nvPicPr>
        <xdr:cNvPr id="2" name="Image 1" descr="Une image contenant texte, Graphique, Police, graphisme&#10;&#10;Le contenu généré par l’IA peut être incorrect.">
          <a:extLst>
            <a:ext uri="{FF2B5EF4-FFF2-40B4-BE49-F238E27FC236}">
              <a16:creationId xmlns:a16="http://schemas.microsoft.com/office/drawing/2014/main" id="{E27ED9D6-7F40-420D-A877-E3F6DB2D0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563" y="86405"/>
          <a:ext cx="1900947" cy="112377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77EC-19E7-4E09-A6A7-8D0BD81C8C57}">
  <sheetPr>
    <tabColor theme="9" tint="-0.249977111117893"/>
    <pageSetUpPr fitToPage="1"/>
  </sheetPr>
  <dimension ref="A1:H179"/>
  <sheetViews>
    <sheetView tabSelected="1" view="pageBreakPreview" zoomScale="115" zoomScaleNormal="70" zoomScaleSheetLayoutView="115" zoomScalePageLayoutView="85" workbookViewId="0">
      <selection activeCell="C6" sqref="C6:C10"/>
    </sheetView>
  </sheetViews>
  <sheetFormatPr baseColWidth="10" defaultColWidth="11.42578125" defaultRowHeight="12.75" x14ac:dyDescent="0.2"/>
  <cols>
    <col min="1" max="1" width="6" style="4" customWidth="1"/>
    <col min="2" max="2" width="8" style="4" customWidth="1"/>
    <col min="3" max="3" width="41.5703125" style="1" customWidth="1"/>
    <col min="4" max="4" width="26.7109375" style="1" customWidth="1"/>
    <col min="5" max="5" width="32.28515625" style="1" customWidth="1"/>
    <col min="6" max="6" width="12.85546875" style="1" customWidth="1"/>
    <col min="7" max="7" width="16.28515625" style="1" customWidth="1"/>
  </cols>
  <sheetData>
    <row r="1" spans="1:8" ht="105.4" customHeight="1" thickBot="1" x14ac:dyDescent="0.25">
      <c r="A1" s="148"/>
      <c r="B1" s="149"/>
      <c r="C1" s="149"/>
      <c r="D1" s="150" t="s">
        <v>88</v>
      </c>
      <c r="E1" s="150"/>
      <c r="F1" s="150"/>
      <c r="G1" s="151"/>
    </row>
    <row r="2" spans="1:8" s="54" customFormat="1" ht="43.15" customHeight="1" x14ac:dyDescent="0.2">
      <c r="A2" s="188" t="s">
        <v>126</v>
      </c>
      <c r="B2" s="189"/>
      <c r="C2" s="189"/>
      <c r="D2" s="189"/>
      <c r="E2" s="189"/>
      <c r="F2" s="189"/>
      <c r="G2" s="190"/>
      <c r="H2" s="55"/>
    </row>
    <row r="3" spans="1:8" ht="12.75" customHeight="1" x14ac:dyDescent="0.2">
      <c r="A3" s="135" t="s">
        <v>4</v>
      </c>
      <c r="B3" s="164" t="s">
        <v>53</v>
      </c>
      <c r="C3" s="136" t="s">
        <v>0</v>
      </c>
      <c r="D3" s="136" t="s">
        <v>1</v>
      </c>
      <c r="E3" s="137" t="s">
        <v>18</v>
      </c>
      <c r="F3" s="138"/>
      <c r="G3" s="139"/>
    </row>
    <row r="4" spans="1:8" ht="25.5" x14ac:dyDescent="0.2">
      <c r="A4" s="135"/>
      <c r="B4" s="165"/>
      <c r="C4" s="136"/>
      <c r="D4" s="136"/>
      <c r="E4" s="8" t="s">
        <v>17</v>
      </c>
      <c r="F4" s="8" t="s">
        <v>11</v>
      </c>
      <c r="G4" s="30" t="s">
        <v>14</v>
      </c>
    </row>
    <row r="5" spans="1:8" x14ac:dyDescent="0.2">
      <c r="A5" s="28"/>
      <c r="F5" s="43"/>
      <c r="G5" s="31"/>
    </row>
    <row r="6" spans="1:8" ht="27" customHeight="1" x14ac:dyDescent="0.2">
      <c r="A6" s="140" t="s">
        <v>56</v>
      </c>
      <c r="B6" s="143" t="s">
        <v>115</v>
      </c>
      <c r="C6" s="133" t="s">
        <v>59</v>
      </c>
      <c r="D6" s="133" t="s">
        <v>58</v>
      </c>
      <c r="E6" s="8" t="s">
        <v>23</v>
      </c>
      <c r="F6" s="14"/>
      <c r="G6" s="33"/>
    </row>
    <row r="7" spans="1:8" ht="27" customHeight="1" x14ac:dyDescent="0.2">
      <c r="A7" s="140"/>
      <c r="B7" s="144"/>
      <c r="C7" s="134"/>
      <c r="D7" s="134"/>
      <c r="E7" s="8" t="s">
        <v>34</v>
      </c>
      <c r="F7" s="14"/>
      <c r="G7" s="33"/>
    </row>
    <row r="8" spans="1:8" ht="27" customHeight="1" x14ac:dyDescent="0.2">
      <c r="A8" s="140"/>
      <c r="B8" s="144"/>
      <c r="C8" s="134"/>
      <c r="D8" s="134"/>
      <c r="E8" s="8" t="s">
        <v>35</v>
      </c>
      <c r="F8" s="14"/>
      <c r="G8" s="33"/>
    </row>
    <row r="9" spans="1:8" ht="27" customHeight="1" x14ac:dyDescent="0.2">
      <c r="A9" s="140"/>
      <c r="B9" s="144"/>
      <c r="C9" s="134"/>
      <c r="D9" s="134"/>
      <c r="E9" s="8" t="s">
        <v>36</v>
      </c>
      <c r="F9" s="14"/>
      <c r="G9" s="33"/>
    </row>
    <row r="10" spans="1:8" ht="27" customHeight="1" x14ac:dyDescent="0.2">
      <c r="A10" s="140"/>
      <c r="B10" s="145"/>
      <c r="C10" s="134"/>
      <c r="D10" s="134"/>
      <c r="E10" s="8" t="s">
        <v>22</v>
      </c>
      <c r="F10" s="14"/>
      <c r="G10" s="33"/>
    </row>
    <row r="11" spans="1:8" ht="27" customHeight="1" x14ac:dyDescent="0.2">
      <c r="A11" s="140" t="s">
        <v>56</v>
      </c>
      <c r="B11" s="143" t="s">
        <v>115</v>
      </c>
      <c r="C11" s="133" t="s">
        <v>60</v>
      </c>
      <c r="D11" s="142" t="s">
        <v>135</v>
      </c>
      <c r="E11" s="17" t="s">
        <v>57</v>
      </c>
      <c r="F11" s="14"/>
      <c r="G11" s="33"/>
    </row>
    <row r="12" spans="1:8" ht="27" customHeight="1" x14ac:dyDescent="0.2">
      <c r="A12" s="140"/>
      <c r="B12" s="144"/>
      <c r="C12" s="134"/>
      <c r="D12" s="142"/>
      <c r="E12" s="8" t="s">
        <v>34</v>
      </c>
      <c r="F12" s="14"/>
      <c r="G12" s="33"/>
    </row>
    <row r="13" spans="1:8" ht="27" customHeight="1" x14ac:dyDescent="0.2">
      <c r="A13" s="140"/>
      <c r="B13" s="144"/>
      <c r="C13" s="134"/>
      <c r="D13" s="142"/>
      <c r="E13" s="8" t="s">
        <v>35</v>
      </c>
      <c r="F13" s="14"/>
      <c r="G13" s="33"/>
    </row>
    <row r="14" spans="1:8" ht="27" customHeight="1" x14ac:dyDescent="0.2">
      <c r="A14" s="140"/>
      <c r="B14" s="144"/>
      <c r="C14" s="134"/>
      <c r="D14" s="142"/>
      <c r="E14" s="8" t="s">
        <v>36</v>
      </c>
      <c r="F14" s="14"/>
      <c r="G14" s="33"/>
    </row>
    <row r="15" spans="1:8" ht="27" customHeight="1" x14ac:dyDescent="0.2">
      <c r="A15" s="140"/>
      <c r="B15" s="145"/>
      <c r="C15" s="134"/>
      <c r="D15" s="142"/>
      <c r="E15" s="8" t="s">
        <v>22</v>
      </c>
      <c r="F15" s="14"/>
      <c r="G15" s="33"/>
    </row>
    <row r="16" spans="1:8" ht="42" customHeight="1" x14ac:dyDescent="0.2">
      <c r="A16" s="39" t="s">
        <v>56</v>
      </c>
      <c r="B16" s="18" t="s">
        <v>115</v>
      </c>
      <c r="C16" s="19" t="s">
        <v>63</v>
      </c>
      <c r="D16" s="166" t="s">
        <v>52</v>
      </c>
      <c r="E16" s="167"/>
      <c r="F16" s="14"/>
      <c r="G16" s="32"/>
    </row>
    <row r="17" spans="1:7" ht="12.75" customHeight="1" x14ac:dyDescent="0.2">
      <c r="A17" s="140" t="s">
        <v>56</v>
      </c>
      <c r="B17" s="143" t="s">
        <v>115</v>
      </c>
      <c r="C17" s="133" t="s">
        <v>62</v>
      </c>
      <c r="D17" s="130" t="s">
        <v>61</v>
      </c>
      <c r="E17" s="8" t="s">
        <v>15</v>
      </c>
      <c r="F17" s="14"/>
      <c r="G17" s="32"/>
    </row>
    <row r="18" spans="1:7" ht="12.75" customHeight="1" x14ac:dyDescent="0.2">
      <c r="A18" s="140"/>
      <c r="B18" s="144"/>
      <c r="C18" s="134"/>
      <c r="D18" s="131"/>
      <c r="E18" s="9" t="s">
        <v>30</v>
      </c>
      <c r="F18" s="14"/>
      <c r="G18" s="32"/>
    </row>
    <row r="19" spans="1:7" x14ac:dyDescent="0.2">
      <c r="A19" s="140"/>
      <c r="B19" s="144"/>
      <c r="C19" s="134"/>
      <c r="D19" s="131"/>
      <c r="E19" s="9" t="s">
        <v>96</v>
      </c>
      <c r="F19" s="14"/>
      <c r="G19" s="32"/>
    </row>
    <row r="20" spans="1:7" ht="12.75" customHeight="1" x14ac:dyDescent="0.2">
      <c r="A20" s="140"/>
      <c r="B20" s="144"/>
      <c r="C20" s="134"/>
      <c r="D20" s="131"/>
      <c r="E20" s="9" t="s">
        <v>32</v>
      </c>
      <c r="F20" s="14"/>
      <c r="G20" s="32"/>
    </row>
    <row r="21" spans="1:7" ht="12.75" customHeight="1" x14ac:dyDescent="0.2">
      <c r="A21" s="140"/>
      <c r="B21" s="145"/>
      <c r="C21" s="134"/>
      <c r="D21" s="132"/>
      <c r="E21" s="9" t="s">
        <v>33</v>
      </c>
      <c r="F21" s="14"/>
      <c r="G21" s="32"/>
    </row>
    <row r="22" spans="1:7" x14ac:dyDescent="0.2">
      <c r="A22" s="28"/>
      <c r="F22" s="43"/>
      <c r="G22" s="31"/>
    </row>
    <row r="23" spans="1:7" ht="16.149999999999999" customHeight="1" x14ac:dyDescent="0.2">
      <c r="A23" s="121" t="s">
        <v>89</v>
      </c>
      <c r="B23" s="122"/>
      <c r="C23" s="122"/>
      <c r="D23" s="122"/>
      <c r="E23" s="122"/>
      <c r="F23" s="122"/>
      <c r="G23" s="123"/>
    </row>
    <row r="24" spans="1:7" x14ac:dyDescent="0.2">
      <c r="A24" s="28"/>
      <c r="G24" s="29"/>
    </row>
    <row r="25" spans="1:7" ht="12.75" customHeight="1" x14ac:dyDescent="0.2">
      <c r="A25" s="168" t="s">
        <v>4</v>
      </c>
      <c r="B25" s="169" t="s">
        <v>97</v>
      </c>
      <c r="C25" s="171" t="s">
        <v>0</v>
      </c>
      <c r="D25" s="171" t="s">
        <v>1</v>
      </c>
      <c r="E25" s="172" t="s">
        <v>18</v>
      </c>
      <c r="F25" s="173"/>
      <c r="G25" s="174"/>
    </row>
    <row r="26" spans="1:7" ht="25.5" x14ac:dyDescent="0.2">
      <c r="A26" s="168"/>
      <c r="B26" s="170"/>
      <c r="C26" s="171"/>
      <c r="D26" s="171"/>
      <c r="E26" s="16" t="s">
        <v>17</v>
      </c>
      <c r="F26" s="16" t="s">
        <v>11</v>
      </c>
      <c r="G26" s="40" t="s">
        <v>14</v>
      </c>
    </row>
    <row r="27" spans="1:7" x14ac:dyDescent="0.2">
      <c r="A27" s="28"/>
      <c r="F27" s="43"/>
      <c r="G27" s="31"/>
    </row>
    <row r="28" spans="1:7" ht="27" customHeight="1" x14ac:dyDescent="0.2">
      <c r="A28" s="140" t="s">
        <v>56</v>
      </c>
      <c r="B28" s="141" t="s">
        <v>116</v>
      </c>
      <c r="C28" s="133" t="s">
        <v>127</v>
      </c>
      <c r="D28" s="133" t="s">
        <v>58</v>
      </c>
      <c r="E28" s="8" t="s">
        <v>23</v>
      </c>
      <c r="F28" s="14"/>
      <c r="G28" s="33"/>
    </row>
    <row r="29" spans="1:7" ht="27" customHeight="1" x14ac:dyDescent="0.2">
      <c r="A29" s="140"/>
      <c r="B29" s="141"/>
      <c r="C29" s="134"/>
      <c r="D29" s="134"/>
      <c r="E29" s="8" t="s">
        <v>34</v>
      </c>
      <c r="F29" s="14"/>
      <c r="G29" s="33"/>
    </row>
    <row r="30" spans="1:7" ht="27" customHeight="1" x14ac:dyDescent="0.2">
      <c r="A30" s="140"/>
      <c r="B30" s="141"/>
      <c r="C30" s="134"/>
      <c r="D30" s="134"/>
      <c r="E30" s="8" t="s">
        <v>35</v>
      </c>
      <c r="F30" s="14"/>
      <c r="G30" s="33"/>
    </row>
    <row r="31" spans="1:7" ht="27" customHeight="1" x14ac:dyDescent="0.2">
      <c r="A31" s="140"/>
      <c r="B31" s="141"/>
      <c r="C31" s="134"/>
      <c r="D31" s="134"/>
      <c r="E31" s="8" t="s">
        <v>36</v>
      </c>
      <c r="F31" s="14"/>
      <c r="G31" s="33"/>
    </row>
    <row r="32" spans="1:7" ht="27" customHeight="1" x14ac:dyDescent="0.2">
      <c r="A32" s="140"/>
      <c r="B32" s="141"/>
      <c r="C32" s="134"/>
      <c r="D32" s="134"/>
      <c r="E32" s="8" t="s">
        <v>22</v>
      </c>
      <c r="F32" s="14"/>
      <c r="G32" s="33"/>
    </row>
    <row r="33" spans="1:7" ht="27" customHeight="1" x14ac:dyDescent="0.2">
      <c r="A33" s="140" t="s">
        <v>56</v>
      </c>
      <c r="B33" s="141" t="s">
        <v>116</v>
      </c>
      <c r="C33" s="133" t="s">
        <v>128</v>
      </c>
      <c r="D33" s="142" t="s">
        <v>135</v>
      </c>
      <c r="E33" s="17" t="s">
        <v>57</v>
      </c>
      <c r="F33" s="14"/>
      <c r="G33" s="33"/>
    </row>
    <row r="34" spans="1:7" ht="27" customHeight="1" x14ac:dyDescent="0.2">
      <c r="A34" s="140"/>
      <c r="B34" s="141"/>
      <c r="C34" s="134"/>
      <c r="D34" s="142"/>
      <c r="E34" s="8" t="s">
        <v>34</v>
      </c>
      <c r="F34" s="14"/>
      <c r="G34" s="33"/>
    </row>
    <row r="35" spans="1:7" ht="27" customHeight="1" x14ac:dyDescent="0.2">
      <c r="A35" s="140"/>
      <c r="B35" s="141"/>
      <c r="C35" s="134"/>
      <c r="D35" s="142"/>
      <c r="E35" s="8" t="s">
        <v>35</v>
      </c>
      <c r="F35" s="14"/>
      <c r="G35" s="33"/>
    </row>
    <row r="36" spans="1:7" ht="27" customHeight="1" x14ac:dyDescent="0.2">
      <c r="A36" s="140"/>
      <c r="B36" s="141"/>
      <c r="C36" s="134"/>
      <c r="D36" s="142"/>
      <c r="E36" s="8" t="s">
        <v>36</v>
      </c>
      <c r="F36" s="14"/>
      <c r="G36" s="33"/>
    </row>
    <row r="37" spans="1:7" ht="27" customHeight="1" x14ac:dyDescent="0.2">
      <c r="A37" s="140"/>
      <c r="B37" s="141"/>
      <c r="C37" s="134"/>
      <c r="D37" s="142"/>
      <c r="E37" s="8" t="s">
        <v>22</v>
      </c>
      <c r="F37" s="14"/>
      <c r="G37" s="33"/>
    </row>
    <row r="38" spans="1:7" ht="85.5" customHeight="1" x14ac:dyDescent="0.2">
      <c r="A38" s="39" t="s">
        <v>56</v>
      </c>
      <c r="B38" s="15" t="s">
        <v>116</v>
      </c>
      <c r="C38" s="19" t="s">
        <v>129</v>
      </c>
      <c r="D38" s="133" t="s">
        <v>64</v>
      </c>
      <c r="E38" s="133"/>
      <c r="F38" s="14"/>
      <c r="G38" s="32"/>
    </row>
    <row r="39" spans="1:7" ht="68.25" customHeight="1" x14ac:dyDescent="0.2">
      <c r="A39" s="39" t="s">
        <v>56</v>
      </c>
      <c r="B39" s="15" t="s">
        <v>116</v>
      </c>
      <c r="C39" s="19" t="s">
        <v>83</v>
      </c>
      <c r="D39" s="133" t="s">
        <v>64</v>
      </c>
      <c r="E39" s="133"/>
      <c r="F39" s="14"/>
      <c r="G39" s="32"/>
    </row>
    <row r="40" spans="1:7" ht="18" customHeight="1" x14ac:dyDescent="0.2">
      <c r="A40" s="180" t="s">
        <v>56</v>
      </c>
      <c r="B40" s="143" t="s">
        <v>116</v>
      </c>
      <c r="C40" s="130" t="s">
        <v>82</v>
      </c>
      <c r="D40" s="130" t="s">
        <v>61</v>
      </c>
      <c r="E40" s="8" t="s">
        <v>15</v>
      </c>
      <c r="F40" s="14" t="s">
        <v>56</v>
      </c>
      <c r="G40" s="32"/>
    </row>
    <row r="41" spans="1:7" ht="15" customHeight="1" x14ac:dyDescent="0.2">
      <c r="A41" s="192"/>
      <c r="B41" s="144"/>
      <c r="C41" s="191"/>
      <c r="D41" s="191"/>
      <c r="E41" s="9" t="s">
        <v>30</v>
      </c>
      <c r="F41" s="14" t="s">
        <v>56</v>
      </c>
      <c r="G41" s="32"/>
    </row>
    <row r="42" spans="1:7" ht="13.5" customHeight="1" x14ac:dyDescent="0.2">
      <c r="A42" s="192"/>
      <c r="B42" s="144"/>
      <c r="C42" s="191"/>
      <c r="D42" s="191"/>
      <c r="E42" s="9" t="s">
        <v>31</v>
      </c>
      <c r="F42" s="14" t="s">
        <v>56</v>
      </c>
      <c r="G42" s="33"/>
    </row>
    <row r="43" spans="1:7" x14ac:dyDescent="0.2">
      <c r="A43" s="192"/>
      <c r="B43" s="144"/>
      <c r="C43" s="191"/>
      <c r="D43" s="191"/>
      <c r="E43" s="9" t="s">
        <v>32</v>
      </c>
      <c r="F43" s="14" t="s">
        <v>56</v>
      </c>
      <c r="G43" s="33"/>
    </row>
    <row r="44" spans="1:7" x14ac:dyDescent="0.2">
      <c r="A44" s="181"/>
      <c r="B44" s="145"/>
      <c r="C44" s="182"/>
      <c r="D44" s="182"/>
      <c r="E44" s="9" t="s">
        <v>33</v>
      </c>
      <c r="F44" s="14" t="s">
        <v>56</v>
      </c>
      <c r="G44" s="33"/>
    </row>
    <row r="45" spans="1:7" ht="12.75" customHeight="1" x14ac:dyDescent="0.2">
      <c r="A45" s="26"/>
      <c r="B45" s="45"/>
      <c r="C45" s="42"/>
      <c r="D45" s="42"/>
      <c r="E45" s="42"/>
      <c r="F45" s="42"/>
      <c r="G45" s="27"/>
    </row>
    <row r="46" spans="1:7" x14ac:dyDescent="0.2">
      <c r="A46" s="128" t="s">
        <v>4</v>
      </c>
      <c r="B46" s="186" t="s">
        <v>95</v>
      </c>
      <c r="C46" s="129" t="s">
        <v>0</v>
      </c>
      <c r="D46" s="129" t="s">
        <v>1</v>
      </c>
      <c r="E46" s="157" t="s">
        <v>29</v>
      </c>
      <c r="F46" s="158"/>
      <c r="G46" s="159"/>
    </row>
    <row r="47" spans="1:7" ht="25.5" x14ac:dyDescent="0.2">
      <c r="A47" s="128"/>
      <c r="B47" s="187"/>
      <c r="C47" s="129"/>
      <c r="D47" s="129"/>
      <c r="E47" s="10" t="s">
        <v>27</v>
      </c>
      <c r="F47" s="10" t="s">
        <v>11</v>
      </c>
      <c r="G47" s="38" t="s">
        <v>14</v>
      </c>
    </row>
    <row r="48" spans="1:7" ht="12.75" customHeight="1" x14ac:dyDescent="0.2">
      <c r="A48" s="28"/>
      <c r="G48" s="29"/>
    </row>
    <row r="49" spans="1:7" ht="30" customHeight="1" x14ac:dyDescent="0.2">
      <c r="A49" s="160">
        <v>20</v>
      </c>
      <c r="B49" s="152" t="s">
        <v>118</v>
      </c>
      <c r="C49" s="147" t="s">
        <v>19</v>
      </c>
      <c r="D49" s="161" t="s">
        <v>117</v>
      </c>
      <c r="E49" s="11" t="s">
        <v>25</v>
      </c>
      <c r="F49" s="12" t="s">
        <v>43</v>
      </c>
      <c r="G49" s="33">
        <v>80</v>
      </c>
    </row>
    <row r="50" spans="1:7" ht="30" customHeight="1" x14ac:dyDescent="0.2">
      <c r="A50" s="160"/>
      <c r="B50" s="153"/>
      <c r="C50" s="147"/>
      <c r="D50" s="162"/>
      <c r="E50" s="11" t="s">
        <v>26</v>
      </c>
      <c r="F50" s="12" t="s">
        <v>44</v>
      </c>
      <c r="G50" s="33">
        <v>100</v>
      </c>
    </row>
    <row r="51" spans="1:7" ht="30" customHeight="1" x14ac:dyDescent="0.2">
      <c r="A51" s="160"/>
      <c r="B51" s="154"/>
      <c r="C51" s="147"/>
      <c r="D51" s="163"/>
      <c r="E51" s="11" t="s">
        <v>28</v>
      </c>
      <c r="F51" s="12" t="s">
        <v>45</v>
      </c>
      <c r="G51" s="33">
        <v>150</v>
      </c>
    </row>
    <row r="52" spans="1:7" x14ac:dyDescent="0.2">
      <c r="A52" s="28"/>
      <c r="C52" s="46"/>
      <c r="G52" s="29"/>
    </row>
    <row r="53" spans="1:7" ht="12.75" customHeight="1" x14ac:dyDescent="0.2">
      <c r="A53" s="121" t="s">
        <v>55</v>
      </c>
      <c r="B53" s="122"/>
      <c r="C53" s="122"/>
      <c r="D53" s="122"/>
      <c r="E53" s="122"/>
      <c r="F53" s="122"/>
      <c r="G53" s="123"/>
    </row>
    <row r="54" spans="1:7" ht="7.5" customHeight="1" x14ac:dyDescent="0.2">
      <c r="A54" s="26"/>
      <c r="B54" s="42"/>
      <c r="C54" s="42"/>
      <c r="D54" s="42"/>
      <c r="E54" s="42"/>
      <c r="F54" s="42"/>
      <c r="G54" s="27"/>
    </row>
    <row r="55" spans="1:7" ht="7.5" customHeight="1" x14ac:dyDescent="0.2">
      <c r="A55" s="26"/>
      <c r="B55" s="42"/>
      <c r="C55" s="42"/>
      <c r="D55" s="42"/>
      <c r="E55" s="42"/>
      <c r="F55" s="42"/>
      <c r="G55" s="27"/>
    </row>
    <row r="56" spans="1:7" ht="28.9" customHeight="1" x14ac:dyDescent="0.2">
      <c r="A56" s="124" t="s">
        <v>4</v>
      </c>
      <c r="B56" s="155" t="s">
        <v>53</v>
      </c>
      <c r="C56" s="126" t="s">
        <v>0</v>
      </c>
      <c r="D56" s="42"/>
      <c r="E56" s="175" t="s">
        <v>10</v>
      </c>
      <c r="F56" s="176"/>
      <c r="G56" s="177"/>
    </row>
    <row r="57" spans="1:7" ht="25.5" x14ac:dyDescent="0.2">
      <c r="A57" s="125"/>
      <c r="B57" s="156"/>
      <c r="C57" s="127"/>
      <c r="D57" s="21"/>
      <c r="E57" s="22" t="s">
        <v>13</v>
      </c>
      <c r="F57" s="20" t="s">
        <v>11</v>
      </c>
      <c r="G57" s="51" t="s">
        <v>14</v>
      </c>
    </row>
    <row r="58" spans="1:7" x14ac:dyDescent="0.2">
      <c r="A58" s="36"/>
      <c r="B58" s="5"/>
      <c r="C58" s="5"/>
      <c r="D58" s="5"/>
      <c r="E58" s="2"/>
      <c r="F58" s="2"/>
      <c r="G58" s="37"/>
    </row>
    <row r="59" spans="1:7" ht="13.5" customHeight="1" x14ac:dyDescent="0.2">
      <c r="A59" s="160">
        <v>9</v>
      </c>
      <c r="B59" s="152" t="s">
        <v>120</v>
      </c>
      <c r="C59" s="147" t="s">
        <v>9</v>
      </c>
      <c r="D59" s="178" t="s">
        <v>54</v>
      </c>
      <c r="E59" s="23" t="s">
        <v>2</v>
      </c>
      <c r="F59" s="12" t="s">
        <v>37</v>
      </c>
      <c r="G59" s="33">
        <v>50</v>
      </c>
    </row>
    <row r="60" spans="1:7" x14ac:dyDescent="0.2">
      <c r="A60" s="160"/>
      <c r="B60" s="153"/>
      <c r="C60" s="147"/>
      <c r="D60" s="162"/>
      <c r="E60" s="23" t="s">
        <v>3</v>
      </c>
      <c r="F60" s="12" t="s">
        <v>38</v>
      </c>
      <c r="G60" s="33">
        <v>47</v>
      </c>
    </row>
    <row r="61" spans="1:7" x14ac:dyDescent="0.2">
      <c r="A61" s="160"/>
      <c r="B61" s="154"/>
      <c r="C61" s="147"/>
      <c r="D61" s="163"/>
      <c r="E61" s="23" t="s">
        <v>8</v>
      </c>
      <c r="F61" s="12" t="s">
        <v>39</v>
      </c>
      <c r="G61" s="33">
        <v>45</v>
      </c>
    </row>
    <row r="62" spans="1:7" x14ac:dyDescent="0.2">
      <c r="A62" s="160">
        <v>27</v>
      </c>
      <c r="B62" s="152" t="s">
        <v>119</v>
      </c>
      <c r="C62" s="193" t="s">
        <v>5</v>
      </c>
      <c r="D62" s="147" t="s">
        <v>7</v>
      </c>
      <c r="E62" s="25" t="s">
        <v>16</v>
      </c>
      <c r="F62" s="12" t="s">
        <v>46</v>
      </c>
      <c r="G62" s="33">
        <v>15</v>
      </c>
    </row>
    <row r="63" spans="1:7" x14ac:dyDescent="0.2">
      <c r="A63" s="160"/>
      <c r="B63" s="153"/>
      <c r="C63" s="193"/>
      <c r="D63" s="147"/>
      <c r="E63" s="25" t="s">
        <v>20</v>
      </c>
      <c r="F63" s="12" t="s">
        <v>47</v>
      </c>
      <c r="G63" s="33">
        <v>14</v>
      </c>
    </row>
    <row r="64" spans="1:7" x14ac:dyDescent="0.2">
      <c r="A64" s="160"/>
      <c r="B64" s="153"/>
      <c r="C64" s="193"/>
      <c r="D64" s="147"/>
      <c r="E64" s="25" t="s">
        <v>21</v>
      </c>
      <c r="F64" s="12" t="s">
        <v>48</v>
      </c>
      <c r="G64" s="33">
        <v>13</v>
      </c>
    </row>
    <row r="65" spans="1:7" x14ac:dyDescent="0.2">
      <c r="A65" s="160">
        <v>28</v>
      </c>
      <c r="B65" s="152" t="s">
        <v>119</v>
      </c>
      <c r="C65" s="147" t="s">
        <v>6</v>
      </c>
      <c r="D65" s="147" t="s">
        <v>7</v>
      </c>
      <c r="E65" s="25" t="s">
        <v>16</v>
      </c>
      <c r="F65" s="12" t="s">
        <v>49</v>
      </c>
      <c r="G65" s="33">
        <v>30</v>
      </c>
    </row>
    <row r="66" spans="1:7" x14ac:dyDescent="0.2">
      <c r="A66" s="160"/>
      <c r="B66" s="153"/>
      <c r="C66" s="147"/>
      <c r="D66" s="147"/>
      <c r="E66" s="25" t="s">
        <v>20</v>
      </c>
      <c r="F66" s="12" t="s">
        <v>50</v>
      </c>
      <c r="G66" s="33">
        <v>29</v>
      </c>
    </row>
    <row r="67" spans="1:7" x14ac:dyDescent="0.2">
      <c r="A67" s="160"/>
      <c r="B67" s="154"/>
      <c r="C67" s="147"/>
      <c r="D67" s="147"/>
      <c r="E67" s="25" t="s">
        <v>21</v>
      </c>
      <c r="F67" s="12" t="s">
        <v>51</v>
      </c>
      <c r="G67" s="33">
        <v>28</v>
      </c>
    </row>
    <row r="68" spans="1:7" ht="13.5" customHeight="1" x14ac:dyDescent="0.2">
      <c r="A68" s="140" t="s">
        <v>56</v>
      </c>
      <c r="B68" s="143" t="s">
        <v>121</v>
      </c>
      <c r="C68" s="133" t="s">
        <v>102</v>
      </c>
      <c r="D68" s="130" t="s">
        <v>65</v>
      </c>
      <c r="E68" s="23" t="s">
        <v>2</v>
      </c>
      <c r="F68" s="14" t="s">
        <v>56</v>
      </c>
      <c r="G68" s="33"/>
    </row>
    <row r="69" spans="1:7" x14ac:dyDescent="0.2">
      <c r="A69" s="140"/>
      <c r="B69" s="144"/>
      <c r="C69" s="134"/>
      <c r="D69" s="131"/>
      <c r="E69" s="23" t="s">
        <v>3</v>
      </c>
      <c r="F69" s="14" t="s">
        <v>56</v>
      </c>
      <c r="G69" s="33"/>
    </row>
    <row r="70" spans="1:7" x14ac:dyDescent="0.2">
      <c r="A70" s="140"/>
      <c r="B70" s="145"/>
      <c r="C70" s="134"/>
      <c r="D70" s="132"/>
      <c r="E70" s="23" t="s">
        <v>8</v>
      </c>
      <c r="F70" s="14" t="s">
        <v>56</v>
      </c>
      <c r="G70" s="33"/>
    </row>
    <row r="71" spans="1:7" ht="13.5" customHeight="1" x14ac:dyDescent="0.2">
      <c r="A71" s="140" t="s">
        <v>56</v>
      </c>
      <c r="B71" s="143" t="s">
        <v>121</v>
      </c>
      <c r="C71" s="133" t="s">
        <v>66</v>
      </c>
      <c r="D71" s="130" t="s">
        <v>65</v>
      </c>
      <c r="E71" s="23" t="s">
        <v>2</v>
      </c>
      <c r="F71" s="14" t="s">
        <v>56</v>
      </c>
      <c r="G71" s="33"/>
    </row>
    <row r="72" spans="1:7" x14ac:dyDescent="0.2">
      <c r="A72" s="140"/>
      <c r="B72" s="144"/>
      <c r="C72" s="134"/>
      <c r="D72" s="131"/>
      <c r="E72" s="23" t="s">
        <v>3</v>
      </c>
      <c r="F72" s="14" t="s">
        <v>56</v>
      </c>
      <c r="G72" s="33"/>
    </row>
    <row r="73" spans="1:7" x14ac:dyDescent="0.2">
      <c r="A73" s="140"/>
      <c r="B73" s="145"/>
      <c r="C73" s="134"/>
      <c r="D73" s="132"/>
      <c r="E73" s="23" t="s">
        <v>8</v>
      </c>
      <c r="F73" s="14" t="s">
        <v>56</v>
      </c>
      <c r="G73" s="33"/>
    </row>
    <row r="74" spans="1:7" x14ac:dyDescent="0.2">
      <c r="A74" s="34"/>
      <c r="B74" s="6"/>
      <c r="C74" s="7"/>
      <c r="D74" s="3"/>
      <c r="E74" s="3"/>
      <c r="F74" s="3"/>
      <c r="G74" s="35"/>
    </row>
    <row r="75" spans="1:7" ht="12.75" customHeight="1" x14ac:dyDescent="0.2">
      <c r="A75" s="121" t="s">
        <v>67</v>
      </c>
      <c r="B75" s="122"/>
      <c r="C75" s="122"/>
      <c r="D75" s="122"/>
      <c r="E75" s="122"/>
      <c r="F75" s="122"/>
      <c r="G75" s="123"/>
    </row>
    <row r="76" spans="1:7" x14ac:dyDescent="0.2">
      <c r="A76" s="34"/>
      <c r="B76" s="41"/>
      <c r="C76" s="7"/>
      <c r="D76" s="3"/>
      <c r="E76" s="3"/>
      <c r="F76" s="3"/>
      <c r="G76" s="35"/>
    </row>
    <row r="77" spans="1:7" ht="27" customHeight="1" x14ac:dyDescent="0.2">
      <c r="A77" s="135" t="s">
        <v>4</v>
      </c>
      <c r="B77" s="136" t="s">
        <v>53</v>
      </c>
      <c r="C77" s="136" t="s">
        <v>0</v>
      </c>
      <c r="D77" s="136" t="s">
        <v>1</v>
      </c>
      <c r="E77" s="137" t="s">
        <v>24</v>
      </c>
      <c r="F77" s="138"/>
      <c r="G77" s="139"/>
    </row>
    <row r="78" spans="1:7" ht="25.5" x14ac:dyDescent="0.2">
      <c r="A78" s="135"/>
      <c r="B78" s="136"/>
      <c r="C78" s="136"/>
      <c r="D78" s="136"/>
      <c r="E78" s="8" t="s">
        <v>12</v>
      </c>
      <c r="F78" s="8" t="s">
        <v>11</v>
      </c>
      <c r="G78" s="30" t="s">
        <v>14</v>
      </c>
    </row>
    <row r="79" spans="1:7" ht="13.5" customHeight="1" x14ac:dyDescent="0.2">
      <c r="A79" s="36"/>
      <c r="B79" s="13"/>
      <c r="C79" s="5"/>
      <c r="D79" s="5"/>
      <c r="E79" s="2"/>
      <c r="F79" s="2"/>
      <c r="G79" s="37"/>
    </row>
    <row r="80" spans="1:7" ht="27" customHeight="1" x14ac:dyDescent="0.2">
      <c r="A80" s="140" t="s">
        <v>56</v>
      </c>
      <c r="B80" s="143" t="s">
        <v>122</v>
      </c>
      <c r="C80" s="133" t="s">
        <v>68</v>
      </c>
      <c r="D80" s="133" t="s">
        <v>69</v>
      </c>
      <c r="E80" s="17" t="s">
        <v>70</v>
      </c>
      <c r="F80" s="14" t="s">
        <v>56</v>
      </c>
      <c r="G80" s="33"/>
    </row>
    <row r="81" spans="1:7" ht="27" customHeight="1" x14ac:dyDescent="0.2">
      <c r="A81" s="140"/>
      <c r="B81" s="145"/>
      <c r="C81" s="134"/>
      <c r="D81" s="134"/>
      <c r="E81" s="17" t="s">
        <v>71</v>
      </c>
      <c r="F81" s="14" t="s">
        <v>56</v>
      </c>
      <c r="G81" s="33"/>
    </row>
    <row r="82" spans="1:7" ht="48" customHeight="1" x14ac:dyDescent="0.2">
      <c r="A82" s="39" t="s">
        <v>56</v>
      </c>
      <c r="B82" s="13" t="s">
        <v>123</v>
      </c>
      <c r="C82" s="19" t="s">
        <v>72</v>
      </c>
      <c r="D82" s="19" t="s">
        <v>73</v>
      </c>
      <c r="E82" s="24" t="s">
        <v>54</v>
      </c>
      <c r="F82" s="14" t="s">
        <v>56</v>
      </c>
      <c r="G82" s="33"/>
    </row>
    <row r="83" spans="1:7" ht="12.75" customHeight="1" x14ac:dyDescent="0.2">
      <c r="A83" s="140" t="s">
        <v>56</v>
      </c>
      <c r="B83" s="152" t="s">
        <v>123</v>
      </c>
      <c r="C83" s="133" t="s">
        <v>80</v>
      </c>
      <c r="D83" s="130" t="s">
        <v>74</v>
      </c>
      <c r="E83" s="17" t="s">
        <v>75</v>
      </c>
      <c r="F83" s="14" t="s">
        <v>56</v>
      </c>
      <c r="G83" s="32"/>
    </row>
    <row r="84" spans="1:7" ht="12.75" customHeight="1" x14ac:dyDescent="0.2">
      <c r="A84" s="140"/>
      <c r="B84" s="153"/>
      <c r="C84" s="146"/>
      <c r="D84" s="131"/>
      <c r="E84" s="17" t="s">
        <v>76</v>
      </c>
      <c r="F84" s="14" t="s">
        <v>56</v>
      </c>
      <c r="G84" s="32"/>
    </row>
    <row r="85" spans="1:7" ht="48.4" customHeight="1" x14ac:dyDescent="0.2">
      <c r="A85" s="140"/>
      <c r="B85" s="154"/>
      <c r="C85" s="146"/>
      <c r="D85" s="131"/>
      <c r="E85" s="17" t="s">
        <v>77</v>
      </c>
      <c r="F85" s="14" t="s">
        <v>56</v>
      </c>
      <c r="G85" s="32"/>
    </row>
    <row r="86" spans="1:7" ht="12.75" customHeight="1" x14ac:dyDescent="0.2">
      <c r="A86" s="140" t="s">
        <v>56</v>
      </c>
      <c r="B86" s="152" t="s">
        <v>123</v>
      </c>
      <c r="C86" s="133" t="s">
        <v>79</v>
      </c>
      <c r="D86" s="130" t="s">
        <v>74</v>
      </c>
      <c r="E86" s="17" t="s">
        <v>75</v>
      </c>
      <c r="F86" s="14" t="s">
        <v>56</v>
      </c>
      <c r="G86" s="32"/>
    </row>
    <row r="87" spans="1:7" ht="12.75" customHeight="1" x14ac:dyDescent="0.2">
      <c r="A87" s="140"/>
      <c r="B87" s="153"/>
      <c r="C87" s="146"/>
      <c r="D87" s="131"/>
      <c r="E87" s="17" t="s">
        <v>76</v>
      </c>
      <c r="F87" s="14" t="s">
        <v>56</v>
      </c>
      <c r="G87" s="32"/>
    </row>
    <row r="88" spans="1:7" ht="66.400000000000006" customHeight="1" x14ac:dyDescent="0.2">
      <c r="A88" s="140"/>
      <c r="B88" s="154"/>
      <c r="C88" s="146"/>
      <c r="D88" s="131"/>
      <c r="E88" s="17" t="s">
        <v>77</v>
      </c>
      <c r="F88" s="14" t="s">
        <v>56</v>
      </c>
      <c r="G88" s="32"/>
    </row>
    <row r="89" spans="1:7" ht="15.95" customHeight="1" x14ac:dyDescent="0.2">
      <c r="A89" s="140" t="s">
        <v>56</v>
      </c>
      <c r="B89" s="152" t="s">
        <v>124</v>
      </c>
      <c r="C89" s="133" t="s">
        <v>78</v>
      </c>
      <c r="D89" s="147" t="s">
        <v>7</v>
      </c>
      <c r="E89" s="8" t="s">
        <v>2</v>
      </c>
      <c r="F89" s="12" t="s">
        <v>40</v>
      </c>
      <c r="G89" s="33">
        <v>40</v>
      </c>
    </row>
    <row r="90" spans="1:7" ht="15.95" customHeight="1" x14ac:dyDescent="0.2">
      <c r="A90" s="140"/>
      <c r="B90" s="153"/>
      <c r="C90" s="134"/>
      <c r="D90" s="147"/>
      <c r="E90" s="8" t="s">
        <v>3</v>
      </c>
      <c r="F90" s="12" t="s">
        <v>41</v>
      </c>
      <c r="G90" s="33">
        <v>38</v>
      </c>
    </row>
    <row r="91" spans="1:7" ht="15.95" customHeight="1" x14ac:dyDescent="0.2">
      <c r="A91" s="140"/>
      <c r="B91" s="154"/>
      <c r="C91" s="134"/>
      <c r="D91" s="147"/>
      <c r="E91" s="8" t="s">
        <v>8</v>
      </c>
      <c r="F91" s="12" t="s">
        <v>42</v>
      </c>
      <c r="G91" s="33">
        <v>32</v>
      </c>
    </row>
    <row r="92" spans="1:7" ht="15.95" customHeight="1" x14ac:dyDescent="0.2">
      <c r="A92" s="140" t="s">
        <v>56</v>
      </c>
      <c r="B92" s="152" t="s">
        <v>125</v>
      </c>
      <c r="C92" s="133" t="s">
        <v>81</v>
      </c>
      <c r="D92" s="134" t="s">
        <v>7</v>
      </c>
      <c r="E92" s="8" t="s">
        <v>2</v>
      </c>
      <c r="F92" s="14" t="s">
        <v>56</v>
      </c>
      <c r="G92" s="33"/>
    </row>
    <row r="93" spans="1:7" ht="15.95" customHeight="1" x14ac:dyDescent="0.2">
      <c r="A93" s="140"/>
      <c r="B93" s="153"/>
      <c r="C93" s="134"/>
      <c r="D93" s="134"/>
      <c r="E93" s="8" t="s">
        <v>3</v>
      </c>
      <c r="F93" s="14" t="s">
        <v>56</v>
      </c>
      <c r="G93" s="33"/>
    </row>
    <row r="94" spans="1:7" ht="15.95" customHeight="1" x14ac:dyDescent="0.2">
      <c r="A94" s="140"/>
      <c r="B94" s="154"/>
      <c r="C94" s="134"/>
      <c r="D94" s="134"/>
      <c r="E94" s="8" t="s">
        <v>8</v>
      </c>
      <c r="F94" s="14" t="s">
        <v>56</v>
      </c>
      <c r="G94" s="33"/>
    </row>
    <row r="95" spans="1:7" ht="13.5" customHeight="1" x14ac:dyDescent="0.2">
      <c r="A95" s="36"/>
      <c r="B95" s="5"/>
      <c r="C95" s="5"/>
      <c r="D95" s="5"/>
      <c r="E95" s="2"/>
      <c r="F95" s="2"/>
      <c r="G95" s="37"/>
    </row>
    <row r="96" spans="1:7" ht="12.75" customHeight="1" x14ac:dyDescent="0.2">
      <c r="A96" s="121" t="s">
        <v>90</v>
      </c>
      <c r="B96" s="122"/>
      <c r="C96" s="122"/>
      <c r="D96" s="122"/>
      <c r="E96" s="122"/>
      <c r="F96" s="122"/>
      <c r="G96" s="123"/>
    </row>
    <row r="97" spans="1:7" ht="27" customHeight="1" x14ac:dyDescent="0.2">
      <c r="A97" s="180" t="s">
        <v>56</v>
      </c>
      <c r="B97" s="152" t="s">
        <v>108</v>
      </c>
      <c r="C97" s="130" t="s">
        <v>107</v>
      </c>
      <c r="D97" s="130" t="s">
        <v>84</v>
      </c>
      <c r="E97" s="17" t="s">
        <v>85</v>
      </c>
      <c r="F97" s="14" t="s">
        <v>56</v>
      </c>
      <c r="G97" s="33"/>
    </row>
    <row r="98" spans="1:7" ht="27" customHeight="1" x14ac:dyDescent="0.2">
      <c r="A98" s="181"/>
      <c r="B98" s="154"/>
      <c r="C98" s="182"/>
      <c r="D98" s="182"/>
      <c r="E98" s="17" t="s">
        <v>86</v>
      </c>
      <c r="F98" s="14" t="s">
        <v>56</v>
      </c>
      <c r="G98" s="33"/>
    </row>
    <row r="99" spans="1:7" ht="27" customHeight="1" x14ac:dyDescent="0.2">
      <c r="A99" s="180" t="s">
        <v>56</v>
      </c>
      <c r="B99" s="152" t="s">
        <v>109</v>
      </c>
      <c r="C99" s="130" t="s">
        <v>103</v>
      </c>
      <c r="D99" s="130" t="s">
        <v>84</v>
      </c>
      <c r="E99" s="17" t="s">
        <v>85</v>
      </c>
      <c r="F99" s="14" t="s">
        <v>56</v>
      </c>
      <c r="G99" s="33"/>
    </row>
    <row r="100" spans="1:7" ht="27" customHeight="1" x14ac:dyDescent="0.2">
      <c r="A100" s="181"/>
      <c r="B100" s="154"/>
      <c r="C100" s="182"/>
      <c r="D100" s="182"/>
      <c r="E100" s="17" t="s">
        <v>86</v>
      </c>
      <c r="F100" s="14" t="s">
        <v>56</v>
      </c>
      <c r="G100" s="33"/>
    </row>
    <row r="101" spans="1:7" ht="27" customHeight="1" x14ac:dyDescent="0.2">
      <c r="A101" s="140" t="s">
        <v>56</v>
      </c>
      <c r="B101" s="152" t="s">
        <v>109</v>
      </c>
      <c r="C101" s="133" t="s">
        <v>104</v>
      </c>
      <c r="D101" s="133" t="s">
        <v>84</v>
      </c>
      <c r="E101" s="17" t="s">
        <v>85</v>
      </c>
      <c r="F101" s="14" t="s">
        <v>56</v>
      </c>
      <c r="G101" s="33"/>
    </row>
    <row r="102" spans="1:7" ht="27" customHeight="1" x14ac:dyDescent="0.2">
      <c r="A102" s="140"/>
      <c r="B102" s="154"/>
      <c r="C102" s="134"/>
      <c r="D102" s="134"/>
      <c r="E102" s="17" t="s">
        <v>86</v>
      </c>
      <c r="F102" s="14" t="s">
        <v>56</v>
      </c>
      <c r="G102" s="33"/>
    </row>
    <row r="103" spans="1:7" ht="27" customHeight="1" x14ac:dyDescent="0.2">
      <c r="A103" s="140" t="s">
        <v>56</v>
      </c>
      <c r="B103" s="152" t="s">
        <v>110</v>
      </c>
      <c r="C103" s="133" t="s">
        <v>105</v>
      </c>
      <c r="D103" s="133" t="s">
        <v>84</v>
      </c>
      <c r="E103" s="17" t="s">
        <v>85</v>
      </c>
      <c r="F103" s="14" t="s">
        <v>56</v>
      </c>
      <c r="G103" s="33"/>
    </row>
    <row r="104" spans="1:7" ht="27" customHeight="1" x14ac:dyDescent="0.2">
      <c r="A104" s="140"/>
      <c r="B104" s="154"/>
      <c r="C104" s="134"/>
      <c r="D104" s="134"/>
      <c r="E104" s="17" t="s">
        <v>86</v>
      </c>
      <c r="F104" s="14" t="s">
        <v>56</v>
      </c>
      <c r="G104" s="33"/>
    </row>
    <row r="105" spans="1:7" ht="27" customHeight="1" x14ac:dyDescent="0.2">
      <c r="A105" s="140" t="s">
        <v>56</v>
      </c>
      <c r="B105" s="152" t="s">
        <v>111</v>
      </c>
      <c r="C105" s="133" t="s">
        <v>87</v>
      </c>
      <c r="D105" s="133" t="s">
        <v>84</v>
      </c>
      <c r="E105" s="17" t="s">
        <v>85</v>
      </c>
      <c r="F105" s="14" t="s">
        <v>56</v>
      </c>
      <c r="G105" s="33"/>
    </row>
    <row r="106" spans="1:7" ht="27" customHeight="1" x14ac:dyDescent="0.2">
      <c r="A106" s="140"/>
      <c r="B106" s="154"/>
      <c r="C106" s="134"/>
      <c r="D106" s="134"/>
      <c r="E106" s="17" t="s">
        <v>86</v>
      </c>
      <c r="F106" s="14" t="s">
        <v>56</v>
      </c>
      <c r="G106" s="33"/>
    </row>
    <row r="107" spans="1:7" ht="27" customHeight="1" x14ac:dyDescent="0.2">
      <c r="A107" s="140" t="s">
        <v>56</v>
      </c>
      <c r="B107" s="152" t="s">
        <v>112</v>
      </c>
      <c r="C107" s="133" t="s">
        <v>106</v>
      </c>
      <c r="D107" s="133" t="s">
        <v>84</v>
      </c>
      <c r="E107" s="17" t="s">
        <v>85</v>
      </c>
      <c r="F107" s="14" t="s">
        <v>56</v>
      </c>
      <c r="G107" s="33"/>
    </row>
    <row r="108" spans="1:7" ht="27" customHeight="1" x14ac:dyDescent="0.2">
      <c r="A108" s="140"/>
      <c r="B108" s="154"/>
      <c r="C108" s="134"/>
      <c r="D108" s="134"/>
      <c r="E108" s="17" t="s">
        <v>86</v>
      </c>
      <c r="F108" s="14" t="s">
        <v>56</v>
      </c>
      <c r="G108" s="33"/>
    </row>
    <row r="109" spans="1:7" ht="41.25" customHeight="1" x14ac:dyDescent="0.2">
      <c r="A109" s="39" t="s">
        <v>56</v>
      </c>
      <c r="B109" s="13" t="s">
        <v>113</v>
      </c>
      <c r="C109" s="19" t="s">
        <v>91</v>
      </c>
      <c r="D109" s="19" t="s">
        <v>92</v>
      </c>
      <c r="E109" s="24" t="s">
        <v>54</v>
      </c>
      <c r="F109" s="14" t="s">
        <v>56</v>
      </c>
      <c r="G109" s="33"/>
    </row>
    <row r="110" spans="1:7" ht="27" customHeight="1" x14ac:dyDescent="0.2">
      <c r="A110" s="140" t="s">
        <v>56</v>
      </c>
      <c r="B110" s="152" t="s">
        <v>114</v>
      </c>
      <c r="C110" s="133" t="s">
        <v>94</v>
      </c>
      <c r="D110" s="133" t="s">
        <v>93</v>
      </c>
      <c r="E110" s="60" t="s">
        <v>134</v>
      </c>
      <c r="F110" s="14" t="s">
        <v>56</v>
      </c>
      <c r="G110" s="33"/>
    </row>
    <row r="111" spans="1:7" ht="27" customHeight="1" thickBot="1" x14ac:dyDescent="0.25">
      <c r="A111" s="184"/>
      <c r="B111" s="183"/>
      <c r="C111" s="185"/>
      <c r="D111" s="185"/>
      <c r="E111" s="97" t="s">
        <v>132</v>
      </c>
      <c r="F111" s="52" t="s">
        <v>56</v>
      </c>
      <c r="G111" s="53"/>
    </row>
    <row r="112" spans="1:7" ht="8.25" customHeight="1" x14ac:dyDescent="0.2">
      <c r="A112" s="28"/>
      <c r="E112" s="44"/>
      <c r="F112" s="45"/>
      <c r="G112" s="47"/>
    </row>
    <row r="113" spans="1:1" ht="9" customHeight="1" x14ac:dyDescent="0.2">
      <c r="A113" s="28"/>
    </row>
    <row r="114" spans="1:1" x14ac:dyDescent="0.2">
      <c r="A114" s="28"/>
    </row>
    <row r="115" spans="1:1" x14ac:dyDescent="0.2">
      <c r="A115" s="28"/>
    </row>
    <row r="116" spans="1:1" x14ac:dyDescent="0.2">
      <c r="A116" s="28"/>
    </row>
    <row r="117" spans="1:1" x14ac:dyDescent="0.2">
      <c r="A117" s="28"/>
    </row>
    <row r="118" spans="1:1" x14ac:dyDescent="0.2">
      <c r="A118" s="28"/>
    </row>
    <row r="119" spans="1:1" x14ac:dyDescent="0.2">
      <c r="A119" s="28"/>
    </row>
    <row r="120" spans="1:1" x14ac:dyDescent="0.2">
      <c r="A120" s="28"/>
    </row>
    <row r="121" spans="1:1" x14ac:dyDescent="0.2">
      <c r="A121" s="28"/>
    </row>
    <row r="122" spans="1:1" x14ac:dyDescent="0.2">
      <c r="A122" s="28"/>
    </row>
    <row r="123" spans="1:1" x14ac:dyDescent="0.2">
      <c r="A123" s="28"/>
    </row>
    <row r="124" spans="1:1" x14ac:dyDescent="0.2">
      <c r="A124" s="28"/>
    </row>
    <row r="125" spans="1:1" x14ac:dyDescent="0.2">
      <c r="A125" s="28"/>
    </row>
    <row r="126" spans="1:1" x14ac:dyDescent="0.2">
      <c r="A126" s="28"/>
    </row>
    <row r="127" spans="1:1" x14ac:dyDescent="0.2">
      <c r="A127" s="28"/>
    </row>
    <row r="128" spans="1:1" x14ac:dyDescent="0.2">
      <c r="A128" s="28"/>
    </row>
    <row r="129" spans="1:2" x14ac:dyDescent="0.2">
      <c r="A129" s="28"/>
    </row>
    <row r="130" spans="1:2" x14ac:dyDescent="0.2">
      <c r="A130" s="28"/>
    </row>
    <row r="131" spans="1:2" x14ac:dyDescent="0.2">
      <c r="A131" s="28"/>
    </row>
    <row r="132" spans="1:2" x14ac:dyDescent="0.2">
      <c r="A132" s="28"/>
      <c r="B132" s="4" t="s">
        <v>98</v>
      </c>
    </row>
    <row r="133" spans="1:2" x14ac:dyDescent="0.2">
      <c r="A133" s="28"/>
    </row>
    <row r="134" spans="1:2" x14ac:dyDescent="0.2">
      <c r="A134" s="28"/>
    </row>
    <row r="135" spans="1:2" x14ac:dyDescent="0.2">
      <c r="A135" s="28"/>
    </row>
    <row r="136" spans="1:2" x14ac:dyDescent="0.2">
      <c r="A136" s="28"/>
    </row>
    <row r="137" spans="1:2" x14ac:dyDescent="0.2">
      <c r="A137" s="28"/>
    </row>
    <row r="138" spans="1:2" x14ac:dyDescent="0.2">
      <c r="A138" s="28"/>
    </row>
    <row r="139" spans="1:2" x14ac:dyDescent="0.2">
      <c r="A139" s="28"/>
    </row>
    <row r="140" spans="1:2" x14ac:dyDescent="0.2">
      <c r="A140" s="28"/>
    </row>
    <row r="141" spans="1:2" x14ac:dyDescent="0.2">
      <c r="A141" s="28"/>
    </row>
    <row r="142" spans="1:2" x14ac:dyDescent="0.2">
      <c r="A142" s="28"/>
    </row>
    <row r="143" spans="1:2" x14ac:dyDescent="0.2">
      <c r="A143" s="28"/>
    </row>
    <row r="144" spans="1:2" x14ac:dyDescent="0.2">
      <c r="A144" s="28"/>
    </row>
    <row r="145" spans="1:2" x14ac:dyDescent="0.2">
      <c r="A145" s="28"/>
    </row>
    <row r="146" spans="1:2" x14ac:dyDescent="0.2">
      <c r="A146" s="28"/>
      <c r="B146" s="179" t="s">
        <v>95</v>
      </c>
    </row>
    <row r="147" spans="1:2" x14ac:dyDescent="0.2">
      <c r="A147" s="28"/>
      <c r="B147" s="179"/>
    </row>
    <row r="148" spans="1:2" x14ac:dyDescent="0.2">
      <c r="A148" s="28"/>
    </row>
    <row r="149" spans="1:2" x14ac:dyDescent="0.2">
      <c r="A149" s="28"/>
      <c r="B149" s="4" t="s">
        <v>99</v>
      </c>
    </row>
    <row r="150" spans="1:2" x14ac:dyDescent="0.2">
      <c r="A150" s="28"/>
    </row>
    <row r="151" spans="1:2" x14ac:dyDescent="0.2">
      <c r="A151" s="28"/>
    </row>
    <row r="152" spans="1:2" x14ac:dyDescent="0.2">
      <c r="A152" s="28"/>
    </row>
    <row r="153" spans="1:2" x14ac:dyDescent="0.2">
      <c r="A153" s="28"/>
      <c r="B153" s="4" t="s">
        <v>99</v>
      </c>
    </row>
    <row r="154" spans="1:2" x14ac:dyDescent="0.2">
      <c r="A154" s="28"/>
    </row>
    <row r="155" spans="1:2" x14ac:dyDescent="0.2">
      <c r="A155" s="28"/>
    </row>
    <row r="156" spans="1:2" x14ac:dyDescent="0.2">
      <c r="A156" s="28"/>
    </row>
    <row r="157" spans="1:2" x14ac:dyDescent="0.2">
      <c r="A157" s="28"/>
    </row>
    <row r="158" spans="1:2" x14ac:dyDescent="0.2">
      <c r="A158" s="28"/>
    </row>
    <row r="159" spans="1:2" x14ac:dyDescent="0.2">
      <c r="A159" s="28"/>
      <c r="B159" s="4" t="s">
        <v>99</v>
      </c>
    </row>
    <row r="160" spans="1:2" x14ac:dyDescent="0.2">
      <c r="A160" s="28"/>
    </row>
    <row r="161" spans="1:2" x14ac:dyDescent="0.2">
      <c r="A161" s="28"/>
    </row>
    <row r="162" spans="1:2" x14ac:dyDescent="0.2">
      <c r="A162" s="28"/>
    </row>
    <row r="163" spans="1:2" x14ac:dyDescent="0.2">
      <c r="A163" s="28"/>
    </row>
    <row r="164" spans="1:2" x14ac:dyDescent="0.2">
      <c r="A164" s="28"/>
    </row>
    <row r="165" spans="1:2" x14ac:dyDescent="0.2">
      <c r="A165" s="28"/>
    </row>
    <row r="166" spans="1:2" x14ac:dyDescent="0.2">
      <c r="A166" s="28"/>
    </row>
    <row r="167" spans="1:2" x14ac:dyDescent="0.2">
      <c r="A167" s="28"/>
    </row>
    <row r="168" spans="1:2" x14ac:dyDescent="0.2">
      <c r="A168" s="28"/>
      <c r="B168" s="4" t="s">
        <v>53</v>
      </c>
    </row>
    <row r="169" spans="1:2" x14ac:dyDescent="0.2">
      <c r="A169" s="28"/>
    </row>
    <row r="170" spans="1:2" x14ac:dyDescent="0.2">
      <c r="A170" s="28"/>
      <c r="B170" s="4" t="s">
        <v>100</v>
      </c>
    </row>
    <row r="171" spans="1:2" x14ac:dyDescent="0.2">
      <c r="A171" s="28"/>
    </row>
    <row r="172" spans="1:2" x14ac:dyDescent="0.2">
      <c r="A172" s="28"/>
    </row>
    <row r="173" spans="1:2" x14ac:dyDescent="0.2">
      <c r="A173" s="28"/>
    </row>
    <row r="174" spans="1:2" x14ac:dyDescent="0.2">
      <c r="A174" s="28"/>
    </row>
    <row r="175" spans="1:2" x14ac:dyDescent="0.2">
      <c r="A175" s="28"/>
      <c r="B175" s="4" t="s">
        <v>53</v>
      </c>
    </row>
    <row r="176" spans="1:2" x14ac:dyDescent="0.2">
      <c r="A176" s="28"/>
    </row>
    <row r="177" spans="1:7" x14ac:dyDescent="0.2">
      <c r="A177" s="28"/>
      <c r="B177" s="4" t="s">
        <v>101</v>
      </c>
    </row>
    <row r="178" spans="1:7" x14ac:dyDescent="0.2">
      <c r="A178" s="28"/>
      <c r="B178" s="4" t="s">
        <v>101</v>
      </c>
    </row>
    <row r="179" spans="1:7" ht="13.5" thickBot="1" x14ac:dyDescent="0.25">
      <c r="A179" s="48"/>
      <c r="B179" s="49" t="s">
        <v>101</v>
      </c>
      <c r="C179" s="50"/>
      <c r="D179" s="50"/>
      <c r="E179" s="50"/>
      <c r="F179" s="50"/>
      <c r="G179" s="50"/>
    </row>
  </sheetData>
  <mergeCells count="131">
    <mergeCell ref="B80:B81"/>
    <mergeCell ref="B83:B85"/>
    <mergeCell ref="B86:B88"/>
    <mergeCell ref="B89:B91"/>
    <mergeCell ref="B92:B94"/>
    <mergeCell ref="B46:B47"/>
    <mergeCell ref="A2:G2"/>
    <mergeCell ref="B40:B44"/>
    <mergeCell ref="C40:C44"/>
    <mergeCell ref="D40:D44"/>
    <mergeCell ref="A40:A44"/>
    <mergeCell ref="D92:D94"/>
    <mergeCell ref="A62:A64"/>
    <mergeCell ref="C62:C64"/>
    <mergeCell ref="D62:D64"/>
    <mergeCell ref="A65:A67"/>
    <mergeCell ref="C65:C67"/>
    <mergeCell ref="D65:D67"/>
    <mergeCell ref="B65:B67"/>
    <mergeCell ref="B62:B64"/>
    <mergeCell ref="C86:C88"/>
    <mergeCell ref="D86:D88"/>
    <mergeCell ref="A89:A91"/>
    <mergeCell ref="A71:A73"/>
    <mergeCell ref="B146:B147"/>
    <mergeCell ref="A96:G96"/>
    <mergeCell ref="B99:B100"/>
    <mergeCell ref="B101:B102"/>
    <mergeCell ref="B103:B104"/>
    <mergeCell ref="B105:B106"/>
    <mergeCell ref="B107:B108"/>
    <mergeCell ref="A97:A98"/>
    <mergeCell ref="B97:B98"/>
    <mergeCell ref="C97:C98"/>
    <mergeCell ref="D97:D98"/>
    <mergeCell ref="B110:B111"/>
    <mergeCell ref="A110:A111"/>
    <mergeCell ref="C110:C111"/>
    <mergeCell ref="D110:D111"/>
    <mergeCell ref="A99:A100"/>
    <mergeCell ref="C99:C100"/>
    <mergeCell ref="D99:D100"/>
    <mergeCell ref="A107:A108"/>
    <mergeCell ref="C107:C108"/>
    <mergeCell ref="A103:A104"/>
    <mergeCell ref="C103:C104"/>
    <mergeCell ref="D103:D104"/>
    <mergeCell ref="D107:D108"/>
    <mergeCell ref="E56:G56"/>
    <mergeCell ref="A59:A61"/>
    <mergeCell ref="B59:B61"/>
    <mergeCell ref="C59:C61"/>
    <mergeCell ref="D59:D61"/>
    <mergeCell ref="A75:G75"/>
    <mergeCell ref="A77:A78"/>
    <mergeCell ref="C77:C78"/>
    <mergeCell ref="D77:D78"/>
    <mergeCell ref="E77:G77"/>
    <mergeCell ref="B77:B78"/>
    <mergeCell ref="A1:C1"/>
    <mergeCell ref="D1:G1"/>
    <mergeCell ref="B49:B51"/>
    <mergeCell ref="B56:B57"/>
    <mergeCell ref="A68:A70"/>
    <mergeCell ref="D46:D47"/>
    <mergeCell ref="E46:G46"/>
    <mergeCell ref="A49:A51"/>
    <mergeCell ref="C49:C51"/>
    <mergeCell ref="D49:D51"/>
    <mergeCell ref="B68:B70"/>
    <mergeCell ref="C68:C70"/>
    <mergeCell ref="D68:D70"/>
    <mergeCell ref="B11:B15"/>
    <mergeCell ref="B17:B21"/>
    <mergeCell ref="B3:B4"/>
    <mergeCell ref="D16:E16"/>
    <mergeCell ref="A23:G23"/>
    <mergeCell ref="A25:A26"/>
    <mergeCell ref="B25:B26"/>
    <mergeCell ref="C25:C26"/>
    <mergeCell ref="D25:D26"/>
    <mergeCell ref="E25:G25"/>
    <mergeCell ref="B6:B10"/>
    <mergeCell ref="A105:A106"/>
    <mergeCell ref="C105:C106"/>
    <mergeCell ref="D105:D106"/>
    <mergeCell ref="A6:A10"/>
    <mergeCell ref="C6:C10"/>
    <mergeCell ref="D6:D10"/>
    <mergeCell ref="A11:A15"/>
    <mergeCell ref="C11:C15"/>
    <mergeCell ref="D11:D15"/>
    <mergeCell ref="A17:A21"/>
    <mergeCell ref="A101:A102"/>
    <mergeCell ref="C101:C102"/>
    <mergeCell ref="D101:D102"/>
    <mergeCell ref="A80:A81"/>
    <mergeCell ref="C80:C81"/>
    <mergeCell ref="D80:D81"/>
    <mergeCell ref="A83:A85"/>
    <mergeCell ref="C83:C85"/>
    <mergeCell ref="D83:D85"/>
    <mergeCell ref="A86:A88"/>
    <mergeCell ref="C89:C91"/>
    <mergeCell ref="D89:D91"/>
    <mergeCell ref="A92:A94"/>
    <mergeCell ref="C92:C94"/>
    <mergeCell ref="A53:G53"/>
    <mergeCell ref="A56:A57"/>
    <mergeCell ref="C56:C57"/>
    <mergeCell ref="A46:A47"/>
    <mergeCell ref="C46:C47"/>
    <mergeCell ref="D71:D73"/>
    <mergeCell ref="C17:C21"/>
    <mergeCell ref="D17:D21"/>
    <mergeCell ref="A3:A4"/>
    <mergeCell ref="C3:C4"/>
    <mergeCell ref="D3:D4"/>
    <mergeCell ref="E3:G3"/>
    <mergeCell ref="C28:C32"/>
    <mergeCell ref="D28:D32"/>
    <mergeCell ref="A33:A37"/>
    <mergeCell ref="B33:B37"/>
    <mergeCell ref="C33:C37"/>
    <mergeCell ref="D33:D37"/>
    <mergeCell ref="D38:E38"/>
    <mergeCell ref="D39:E39"/>
    <mergeCell ref="A28:A32"/>
    <mergeCell ref="B28:B32"/>
    <mergeCell ref="B71:B73"/>
    <mergeCell ref="C71:C73"/>
  </mergeCells>
  <phoneticPr fontId="7" type="noConversion"/>
  <pageMargins left="0.19685039370078741" right="0.15748031496062992" top="0.51181102362204722" bottom="0.39370078740157483" header="0.15748031496062992" footer="0.15748031496062992"/>
  <pageSetup paperSize="9" scale="71" fitToHeight="0" orientation="portrait" r:id="rId1"/>
  <headerFooter alignWithMargins="0">
    <oddHeader>&amp;LMission de diagnostic Technique
Amiante, Plomb, HAP, Termites, ERP, DPE, EIE et EIG&amp;RAnnexe à l'acte d'engagement 
Bordereau des prix unitaires</oddHeader>
    <oddFooter>&amp;COPH D'AUBERVILLIERS&amp;R&amp;P/&amp;N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543FD-D403-4E55-B92F-03D69C882A08}">
  <sheetPr>
    <tabColor theme="9" tint="-0.249977111117893"/>
    <pageSetUpPr fitToPage="1"/>
  </sheetPr>
  <dimension ref="A1:I179"/>
  <sheetViews>
    <sheetView view="pageBreakPreview" zoomScale="70" zoomScaleNormal="70" zoomScaleSheetLayoutView="70" zoomScalePageLayoutView="85" workbookViewId="0">
      <selection activeCell="O12" sqref="O12"/>
    </sheetView>
  </sheetViews>
  <sheetFormatPr baseColWidth="10" defaultColWidth="11.42578125" defaultRowHeight="12.75" x14ac:dyDescent="0.2"/>
  <cols>
    <col min="1" max="1" width="6" style="58" customWidth="1"/>
    <col min="2" max="2" width="8" style="58" customWidth="1"/>
    <col min="3" max="3" width="41.5703125" style="57" customWidth="1"/>
    <col min="4" max="4" width="26.7109375" style="57" customWidth="1"/>
    <col min="5" max="5" width="32.28515625" style="57" customWidth="1"/>
    <col min="6" max="6" width="12.85546875" style="57" customWidth="1"/>
    <col min="7" max="7" width="16.28515625" style="57" customWidth="1"/>
    <col min="8" max="8" width="14.42578125" style="56" customWidth="1"/>
    <col min="9" max="9" width="21.85546875" style="56" customWidth="1"/>
    <col min="10" max="16384" width="11.42578125" style="56"/>
  </cols>
  <sheetData>
    <row r="1" spans="1:9" ht="105.4" customHeight="1" thickBot="1" x14ac:dyDescent="0.25">
      <c r="A1" s="218"/>
      <c r="B1" s="219"/>
      <c r="C1" s="219"/>
      <c r="D1" s="265" t="s">
        <v>136</v>
      </c>
      <c r="E1" s="265"/>
      <c r="F1" s="265"/>
      <c r="G1" s="265"/>
      <c r="H1" s="265"/>
      <c r="I1" s="265"/>
    </row>
    <row r="2" spans="1:9" s="90" customFormat="1" ht="43.15" customHeight="1" thickBot="1" x14ac:dyDescent="0.25">
      <c r="A2" s="266" t="s">
        <v>126</v>
      </c>
      <c r="B2" s="267"/>
      <c r="C2" s="267"/>
      <c r="D2" s="267"/>
      <c r="E2" s="267"/>
      <c r="F2" s="267"/>
      <c r="G2" s="267"/>
      <c r="H2" s="267"/>
      <c r="I2" s="268"/>
    </row>
    <row r="3" spans="1:9" ht="12.75" customHeight="1" thickBot="1" x14ac:dyDescent="0.25">
      <c r="A3" s="270" t="s">
        <v>4</v>
      </c>
      <c r="B3" s="237" t="s">
        <v>53</v>
      </c>
      <c r="C3" s="238" t="s">
        <v>0</v>
      </c>
      <c r="D3" s="238" t="s">
        <v>1</v>
      </c>
      <c r="E3" s="246" t="s">
        <v>18</v>
      </c>
      <c r="F3" s="247"/>
      <c r="G3" s="248"/>
      <c r="I3" s="63"/>
    </row>
    <row r="4" spans="1:9" ht="25.5" x14ac:dyDescent="0.2">
      <c r="A4" s="260"/>
      <c r="B4" s="238"/>
      <c r="C4" s="250"/>
      <c r="D4" s="250"/>
      <c r="E4" s="60" t="s">
        <v>17</v>
      </c>
      <c r="F4" s="60" t="s">
        <v>11</v>
      </c>
      <c r="G4" s="85" t="s">
        <v>14</v>
      </c>
      <c r="H4" s="113" t="s">
        <v>131</v>
      </c>
      <c r="I4" s="114" t="s">
        <v>130</v>
      </c>
    </row>
    <row r="5" spans="1:9" x14ac:dyDescent="0.2">
      <c r="A5" s="94"/>
      <c r="F5" s="111"/>
      <c r="G5" s="88"/>
      <c r="I5" s="63"/>
    </row>
    <row r="6" spans="1:9" ht="27" customHeight="1" x14ac:dyDescent="0.2">
      <c r="A6" s="194" t="s">
        <v>56</v>
      </c>
      <c r="B6" s="215" t="s">
        <v>115</v>
      </c>
      <c r="C6" s="142" t="s">
        <v>59</v>
      </c>
      <c r="D6" s="142" t="s">
        <v>58</v>
      </c>
      <c r="E6" s="60" t="s">
        <v>23</v>
      </c>
      <c r="F6" s="81"/>
      <c r="G6" s="78"/>
      <c r="H6" s="110">
        <v>40</v>
      </c>
      <c r="I6" s="115">
        <f>H6*G6</f>
        <v>0</v>
      </c>
    </row>
    <row r="7" spans="1:9" ht="27" customHeight="1" x14ac:dyDescent="0.2">
      <c r="A7" s="194"/>
      <c r="B7" s="234"/>
      <c r="C7" s="142"/>
      <c r="D7" s="142"/>
      <c r="E7" s="60" t="s">
        <v>34</v>
      </c>
      <c r="F7" s="81"/>
      <c r="G7" s="78"/>
      <c r="H7" s="110">
        <v>150</v>
      </c>
      <c r="I7" s="115">
        <f t="shared" ref="I7:I21" si="0">H7*G7</f>
        <v>0</v>
      </c>
    </row>
    <row r="8" spans="1:9" ht="27" customHeight="1" x14ac:dyDescent="0.2">
      <c r="A8" s="194"/>
      <c r="B8" s="234"/>
      <c r="C8" s="142"/>
      <c r="D8" s="142"/>
      <c r="E8" s="60" t="s">
        <v>35</v>
      </c>
      <c r="F8" s="81"/>
      <c r="G8" s="78"/>
      <c r="H8" s="110">
        <v>400</v>
      </c>
      <c r="I8" s="115">
        <f t="shared" si="0"/>
        <v>0</v>
      </c>
    </row>
    <row r="9" spans="1:9" ht="27" customHeight="1" x14ac:dyDescent="0.2">
      <c r="A9" s="194"/>
      <c r="B9" s="234"/>
      <c r="C9" s="142"/>
      <c r="D9" s="142"/>
      <c r="E9" s="60" t="s">
        <v>36</v>
      </c>
      <c r="F9" s="81"/>
      <c r="G9" s="78"/>
      <c r="H9" s="108">
        <v>600</v>
      </c>
      <c r="I9" s="115">
        <f t="shared" si="0"/>
        <v>0</v>
      </c>
    </row>
    <row r="10" spans="1:9" ht="27" customHeight="1" x14ac:dyDescent="0.2">
      <c r="A10" s="194"/>
      <c r="B10" s="216"/>
      <c r="C10" s="142"/>
      <c r="D10" s="142"/>
      <c r="E10" s="60" t="s">
        <v>22</v>
      </c>
      <c r="F10" s="81"/>
      <c r="G10" s="78"/>
      <c r="H10" s="108">
        <v>600</v>
      </c>
      <c r="I10" s="115">
        <f t="shared" si="0"/>
        <v>0</v>
      </c>
    </row>
    <row r="11" spans="1:9" ht="27" customHeight="1" x14ac:dyDescent="0.2">
      <c r="A11" s="194" t="s">
        <v>56</v>
      </c>
      <c r="B11" s="215" t="s">
        <v>115</v>
      </c>
      <c r="C11" s="142" t="s">
        <v>60</v>
      </c>
      <c r="D11" s="142" t="s">
        <v>135</v>
      </c>
      <c r="E11" s="60" t="s">
        <v>57</v>
      </c>
      <c r="F11" s="81"/>
      <c r="G11" s="78"/>
      <c r="H11" s="108">
        <v>25</v>
      </c>
      <c r="I11" s="115">
        <f t="shared" si="0"/>
        <v>0</v>
      </c>
    </row>
    <row r="12" spans="1:9" ht="27" customHeight="1" x14ac:dyDescent="0.2">
      <c r="A12" s="194"/>
      <c r="B12" s="234"/>
      <c r="C12" s="142"/>
      <c r="D12" s="142"/>
      <c r="E12" s="60" t="s">
        <v>34</v>
      </c>
      <c r="F12" s="81"/>
      <c r="G12" s="78"/>
      <c r="H12" s="108">
        <v>25</v>
      </c>
      <c r="I12" s="115">
        <f t="shared" si="0"/>
        <v>0</v>
      </c>
    </row>
    <row r="13" spans="1:9" ht="27" customHeight="1" x14ac:dyDescent="0.2">
      <c r="A13" s="194"/>
      <c r="B13" s="234"/>
      <c r="C13" s="142"/>
      <c r="D13" s="142"/>
      <c r="E13" s="60" t="s">
        <v>35</v>
      </c>
      <c r="F13" s="81"/>
      <c r="G13" s="78"/>
      <c r="H13" s="108">
        <v>40</v>
      </c>
      <c r="I13" s="115">
        <f t="shared" si="0"/>
        <v>0</v>
      </c>
    </row>
    <row r="14" spans="1:9" ht="27" customHeight="1" x14ac:dyDescent="0.2">
      <c r="A14" s="194"/>
      <c r="B14" s="234"/>
      <c r="C14" s="142"/>
      <c r="D14" s="142"/>
      <c r="E14" s="60" t="s">
        <v>36</v>
      </c>
      <c r="F14" s="81"/>
      <c r="G14" s="78"/>
      <c r="H14" s="108">
        <v>40</v>
      </c>
      <c r="I14" s="115">
        <f t="shared" si="0"/>
        <v>0</v>
      </c>
    </row>
    <row r="15" spans="1:9" ht="27" customHeight="1" x14ac:dyDescent="0.2">
      <c r="A15" s="194"/>
      <c r="B15" s="216"/>
      <c r="C15" s="142"/>
      <c r="D15" s="142"/>
      <c r="E15" s="60" t="s">
        <v>22</v>
      </c>
      <c r="F15" s="81"/>
      <c r="G15" s="78"/>
      <c r="H15" s="108">
        <v>40</v>
      </c>
      <c r="I15" s="115">
        <f t="shared" si="0"/>
        <v>0</v>
      </c>
    </row>
    <row r="16" spans="1:9" ht="42" customHeight="1" x14ac:dyDescent="0.2">
      <c r="A16" s="98" t="s">
        <v>56</v>
      </c>
      <c r="B16" s="84" t="s">
        <v>115</v>
      </c>
      <c r="C16" s="61" t="s">
        <v>63</v>
      </c>
      <c r="D16" s="166" t="s">
        <v>52</v>
      </c>
      <c r="E16" s="167"/>
      <c r="F16" s="81"/>
      <c r="G16" s="89"/>
      <c r="H16" s="110">
        <v>30</v>
      </c>
      <c r="I16" s="115">
        <f t="shared" si="0"/>
        <v>0</v>
      </c>
    </row>
    <row r="17" spans="1:9" ht="12.75" customHeight="1" x14ac:dyDescent="0.2">
      <c r="A17" s="194" t="s">
        <v>56</v>
      </c>
      <c r="B17" s="215" t="s">
        <v>115</v>
      </c>
      <c r="C17" s="142" t="s">
        <v>62</v>
      </c>
      <c r="D17" s="206" t="s">
        <v>61</v>
      </c>
      <c r="E17" s="60" t="s">
        <v>15</v>
      </c>
      <c r="F17" s="81"/>
      <c r="G17" s="89"/>
      <c r="H17" s="108">
        <v>5</v>
      </c>
      <c r="I17" s="115">
        <f t="shared" si="0"/>
        <v>0</v>
      </c>
    </row>
    <row r="18" spans="1:9" ht="12.75" customHeight="1" x14ac:dyDescent="0.2">
      <c r="A18" s="194"/>
      <c r="B18" s="234"/>
      <c r="C18" s="142"/>
      <c r="D18" s="214"/>
      <c r="E18" s="60" t="s">
        <v>30</v>
      </c>
      <c r="F18" s="81"/>
      <c r="G18" s="89"/>
      <c r="H18" s="108">
        <v>10</v>
      </c>
      <c r="I18" s="115">
        <f t="shared" si="0"/>
        <v>0</v>
      </c>
    </row>
    <row r="19" spans="1:9" x14ac:dyDescent="0.2">
      <c r="A19" s="194"/>
      <c r="B19" s="234"/>
      <c r="C19" s="142"/>
      <c r="D19" s="214"/>
      <c r="E19" s="60" t="s">
        <v>96</v>
      </c>
      <c r="F19" s="81"/>
      <c r="G19" s="89"/>
      <c r="H19" s="108">
        <v>15</v>
      </c>
      <c r="I19" s="115">
        <f t="shared" si="0"/>
        <v>0</v>
      </c>
    </row>
    <row r="20" spans="1:9" ht="12.75" customHeight="1" x14ac:dyDescent="0.2">
      <c r="A20" s="194"/>
      <c r="B20" s="234"/>
      <c r="C20" s="142"/>
      <c r="D20" s="214"/>
      <c r="E20" s="60" t="s">
        <v>32</v>
      </c>
      <c r="F20" s="81"/>
      <c r="G20" s="89"/>
      <c r="H20" s="108">
        <v>15</v>
      </c>
      <c r="I20" s="115">
        <f t="shared" si="0"/>
        <v>0</v>
      </c>
    </row>
    <row r="21" spans="1:9" ht="12.75" customHeight="1" x14ac:dyDescent="0.2">
      <c r="A21" s="194"/>
      <c r="B21" s="216"/>
      <c r="C21" s="142"/>
      <c r="D21" s="207"/>
      <c r="E21" s="60" t="s">
        <v>33</v>
      </c>
      <c r="F21" s="81"/>
      <c r="G21" s="89"/>
      <c r="H21" s="108">
        <v>10</v>
      </c>
      <c r="I21" s="115">
        <f t="shared" si="0"/>
        <v>0</v>
      </c>
    </row>
    <row r="22" spans="1:9" x14ac:dyDescent="0.2">
      <c r="A22" s="94"/>
      <c r="F22" s="111"/>
      <c r="G22" s="88"/>
      <c r="I22" s="63"/>
    </row>
    <row r="23" spans="1:9" ht="16.149999999999999" customHeight="1" x14ac:dyDescent="0.2">
      <c r="A23" s="196" t="s">
        <v>89</v>
      </c>
      <c r="B23" s="197"/>
      <c r="C23" s="197"/>
      <c r="D23" s="197"/>
      <c r="E23" s="197"/>
      <c r="F23" s="197"/>
      <c r="G23" s="198"/>
      <c r="I23" s="63"/>
    </row>
    <row r="24" spans="1:9" x14ac:dyDescent="0.2">
      <c r="A24" s="94"/>
      <c r="G24" s="64"/>
      <c r="I24" s="63"/>
    </row>
    <row r="25" spans="1:9" ht="12.75" customHeight="1" x14ac:dyDescent="0.2">
      <c r="A25" s="239" t="s">
        <v>4</v>
      </c>
      <c r="B25" s="240" t="s">
        <v>97</v>
      </c>
      <c r="C25" s="242" t="s">
        <v>0</v>
      </c>
      <c r="D25" s="242" t="s">
        <v>1</v>
      </c>
      <c r="E25" s="243" t="s">
        <v>18</v>
      </c>
      <c r="F25" s="244"/>
      <c r="G25" s="245"/>
      <c r="I25" s="63"/>
    </row>
    <row r="26" spans="1:9" ht="25.5" x14ac:dyDescent="0.2">
      <c r="A26" s="239"/>
      <c r="B26" s="241"/>
      <c r="C26" s="242"/>
      <c r="D26" s="242"/>
      <c r="E26" s="80" t="s">
        <v>17</v>
      </c>
      <c r="F26" s="80" t="s">
        <v>11</v>
      </c>
      <c r="G26" s="79" t="s">
        <v>14</v>
      </c>
      <c r="H26" s="79" t="s">
        <v>131</v>
      </c>
      <c r="I26" s="79" t="s">
        <v>130</v>
      </c>
    </row>
    <row r="27" spans="1:9" x14ac:dyDescent="0.2">
      <c r="A27" s="94"/>
      <c r="F27" s="111"/>
      <c r="G27" s="88"/>
      <c r="I27" s="63"/>
    </row>
    <row r="28" spans="1:9" ht="27" customHeight="1" x14ac:dyDescent="0.2">
      <c r="A28" s="194" t="s">
        <v>56</v>
      </c>
      <c r="B28" s="264" t="s">
        <v>116</v>
      </c>
      <c r="C28" s="142" t="s">
        <v>127</v>
      </c>
      <c r="D28" s="142" t="s">
        <v>58</v>
      </c>
      <c r="E28" s="60" t="s">
        <v>23</v>
      </c>
      <c r="F28" s="81"/>
      <c r="G28" s="78"/>
      <c r="H28" s="110">
        <v>40</v>
      </c>
      <c r="I28" s="115">
        <f t="shared" ref="I28:I44" si="1">H28*G28</f>
        <v>0</v>
      </c>
    </row>
    <row r="29" spans="1:9" ht="27" customHeight="1" x14ac:dyDescent="0.2">
      <c r="A29" s="194"/>
      <c r="B29" s="264"/>
      <c r="C29" s="142"/>
      <c r="D29" s="142"/>
      <c r="E29" s="60" t="s">
        <v>34</v>
      </c>
      <c r="F29" s="81"/>
      <c r="G29" s="78"/>
      <c r="H29" s="110">
        <v>150</v>
      </c>
      <c r="I29" s="115">
        <f t="shared" si="1"/>
        <v>0</v>
      </c>
    </row>
    <row r="30" spans="1:9" ht="27" customHeight="1" x14ac:dyDescent="0.2">
      <c r="A30" s="194"/>
      <c r="B30" s="264"/>
      <c r="C30" s="142"/>
      <c r="D30" s="142"/>
      <c r="E30" s="60" t="s">
        <v>35</v>
      </c>
      <c r="F30" s="81"/>
      <c r="G30" s="78"/>
      <c r="H30" s="110">
        <v>400</v>
      </c>
      <c r="I30" s="115">
        <f t="shared" si="1"/>
        <v>0</v>
      </c>
    </row>
    <row r="31" spans="1:9" ht="27" customHeight="1" x14ac:dyDescent="0.2">
      <c r="A31" s="194"/>
      <c r="B31" s="264"/>
      <c r="C31" s="142"/>
      <c r="D31" s="142"/>
      <c r="E31" s="60" t="s">
        <v>36</v>
      </c>
      <c r="F31" s="81"/>
      <c r="G31" s="78"/>
      <c r="H31" s="108">
        <v>600</v>
      </c>
      <c r="I31" s="115">
        <f t="shared" si="1"/>
        <v>0</v>
      </c>
    </row>
    <row r="32" spans="1:9" ht="27" customHeight="1" x14ac:dyDescent="0.2">
      <c r="A32" s="194"/>
      <c r="B32" s="264"/>
      <c r="C32" s="142"/>
      <c r="D32" s="142"/>
      <c r="E32" s="60" t="s">
        <v>22</v>
      </c>
      <c r="F32" s="81"/>
      <c r="G32" s="78"/>
      <c r="H32" s="108">
        <v>600</v>
      </c>
      <c r="I32" s="115">
        <f t="shared" si="1"/>
        <v>0</v>
      </c>
    </row>
    <row r="33" spans="1:9" ht="27" customHeight="1" x14ac:dyDescent="0.2">
      <c r="A33" s="194" t="s">
        <v>56</v>
      </c>
      <c r="B33" s="264" t="s">
        <v>116</v>
      </c>
      <c r="C33" s="142" t="s">
        <v>128</v>
      </c>
      <c r="D33" s="142" t="s">
        <v>135</v>
      </c>
      <c r="E33" s="60" t="s">
        <v>57</v>
      </c>
      <c r="F33" s="81"/>
      <c r="G33" s="78"/>
      <c r="H33" s="108">
        <v>25</v>
      </c>
      <c r="I33" s="115">
        <f t="shared" si="1"/>
        <v>0</v>
      </c>
    </row>
    <row r="34" spans="1:9" ht="27" customHeight="1" x14ac:dyDescent="0.2">
      <c r="A34" s="194"/>
      <c r="B34" s="264"/>
      <c r="C34" s="142"/>
      <c r="D34" s="142"/>
      <c r="E34" s="60" t="s">
        <v>34</v>
      </c>
      <c r="F34" s="81"/>
      <c r="G34" s="78"/>
      <c r="H34" s="108">
        <v>25</v>
      </c>
      <c r="I34" s="115">
        <f t="shared" si="1"/>
        <v>0</v>
      </c>
    </row>
    <row r="35" spans="1:9" ht="27" customHeight="1" x14ac:dyDescent="0.2">
      <c r="A35" s="194"/>
      <c r="B35" s="264"/>
      <c r="C35" s="142"/>
      <c r="D35" s="142"/>
      <c r="E35" s="60" t="s">
        <v>35</v>
      </c>
      <c r="F35" s="81"/>
      <c r="G35" s="78"/>
      <c r="H35" s="108">
        <v>40</v>
      </c>
      <c r="I35" s="115">
        <f t="shared" si="1"/>
        <v>0</v>
      </c>
    </row>
    <row r="36" spans="1:9" ht="27" customHeight="1" x14ac:dyDescent="0.2">
      <c r="A36" s="194"/>
      <c r="B36" s="264"/>
      <c r="C36" s="142"/>
      <c r="D36" s="142"/>
      <c r="E36" s="60" t="s">
        <v>36</v>
      </c>
      <c r="F36" s="81"/>
      <c r="G36" s="78"/>
      <c r="H36" s="108">
        <v>40</v>
      </c>
      <c r="I36" s="115">
        <f t="shared" si="1"/>
        <v>0</v>
      </c>
    </row>
    <row r="37" spans="1:9" ht="27" customHeight="1" x14ac:dyDescent="0.2">
      <c r="A37" s="194"/>
      <c r="B37" s="264"/>
      <c r="C37" s="142"/>
      <c r="D37" s="142"/>
      <c r="E37" s="60" t="s">
        <v>22</v>
      </c>
      <c r="F37" s="81"/>
      <c r="G37" s="78"/>
      <c r="H37" s="108">
        <v>40</v>
      </c>
      <c r="I37" s="115">
        <f t="shared" si="1"/>
        <v>0</v>
      </c>
    </row>
    <row r="38" spans="1:9" ht="85.5" customHeight="1" x14ac:dyDescent="0.2">
      <c r="A38" s="98" t="s">
        <v>56</v>
      </c>
      <c r="B38" s="59" t="s">
        <v>116</v>
      </c>
      <c r="C38" s="61" t="s">
        <v>129</v>
      </c>
      <c r="D38" s="166" t="s">
        <v>52</v>
      </c>
      <c r="E38" s="167"/>
      <c r="F38" s="81"/>
      <c r="G38" s="89"/>
      <c r="H38" s="110">
        <v>30</v>
      </c>
      <c r="I38" s="115">
        <f t="shared" si="1"/>
        <v>0</v>
      </c>
    </row>
    <row r="39" spans="1:9" ht="68.25" customHeight="1" x14ac:dyDescent="0.2">
      <c r="A39" s="98" t="s">
        <v>56</v>
      </c>
      <c r="B39" s="59" t="s">
        <v>116</v>
      </c>
      <c r="C39" s="61" t="s">
        <v>83</v>
      </c>
      <c r="D39" s="166" t="s">
        <v>52</v>
      </c>
      <c r="E39" s="167"/>
      <c r="F39" s="81"/>
      <c r="G39" s="89"/>
      <c r="H39" s="110">
        <v>15</v>
      </c>
      <c r="I39" s="115">
        <f t="shared" si="1"/>
        <v>0</v>
      </c>
    </row>
    <row r="40" spans="1:9" ht="18" customHeight="1" x14ac:dyDescent="0.2">
      <c r="A40" s="201" t="s">
        <v>56</v>
      </c>
      <c r="B40" s="215" t="s">
        <v>116</v>
      </c>
      <c r="C40" s="206" t="s">
        <v>82</v>
      </c>
      <c r="D40" s="206" t="s">
        <v>61</v>
      </c>
      <c r="E40" s="60" t="s">
        <v>15</v>
      </c>
      <c r="F40" s="81" t="s">
        <v>56</v>
      </c>
      <c r="G40" s="89"/>
      <c r="H40" s="108">
        <v>5</v>
      </c>
      <c r="I40" s="115">
        <f t="shared" si="1"/>
        <v>0</v>
      </c>
    </row>
    <row r="41" spans="1:9" ht="15" customHeight="1" x14ac:dyDescent="0.2">
      <c r="A41" s="235"/>
      <c r="B41" s="234"/>
      <c r="C41" s="214"/>
      <c r="D41" s="214"/>
      <c r="E41" s="60" t="s">
        <v>30</v>
      </c>
      <c r="F41" s="81" t="s">
        <v>56</v>
      </c>
      <c r="G41" s="89"/>
      <c r="H41" s="108">
        <v>10</v>
      </c>
      <c r="I41" s="115">
        <f t="shared" si="1"/>
        <v>0</v>
      </c>
    </row>
    <row r="42" spans="1:9" ht="13.5" customHeight="1" x14ac:dyDescent="0.2">
      <c r="A42" s="235"/>
      <c r="B42" s="234"/>
      <c r="C42" s="214"/>
      <c r="D42" s="214"/>
      <c r="E42" s="60" t="s">
        <v>31</v>
      </c>
      <c r="F42" s="81" t="s">
        <v>56</v>
      </c>
      <c r="G42" s="78"/>
      <c r="H42" s="108">
        <v>15</v>
      </c>
      <c r="I42" s="115">
        <f t="shared" si="1"/>
        <v>0</v>
      </c>
    </row>
    <row r="43" spans="1:9" x14ac:dyDescent="0.2">
      <c r="A43" s="235"/>
      <c r="B43" s="234"/>
      <c r="C43" s="214"/>
      <c r="D43" s="214"/>
      <c r="E43" s="60" t="s">
        <v>32</v>
      </c>
      <c r="F43" s="81" t="s">
        <v>56</v>
      </c>
      <c r="G43" s="78"/>
      <c r="H43" s="108">
        <v>15</v>
      </c>
      <c r="I43" s="115">
        <f t="shared" si="1"/>
        <v>0</v>
      </c>
    </row>
    <row r="44" spans="1:9" x14ac:dyDescent="0.2">
      <c r="A44" s="202"/>
      <c r="B44" s="216"/>
      <c r="C44" s="207"/>
      <c r="D44" s="207"/>
      <c r="E44" s="60" t="s">
        <v>33</v>
      </c>
      <c r="F44" s="81" t="s">
        <v>56</v>
      </c>
      <c r="G44" s="78"/>
      <c r="H44" s="108">
        <v>10</v>
      </c>
      <c r="I44" s="115">
        <f t="shared" si="1"/>
        <v>0</v>
      </c>
    </row>
    <row r="45" spans="1:9" ht="12.75" customHeight="1" x14ac:dyDescent="0.2">
      <c r="A45" s="99"/>
      <c r="B45" s="70"/>
      <c r="C45" s="112"/>
      <c r="D45" s="112"/>
      <c r="E45" s="112"/>
      <c r="F45" s="112"/>
      <c r="G45" s="71"/>
      <c r="I45" s="118"/>
    </row>
    <row r="46" spans="1:9" x14ac:dyDescent="0.2">
      <c r="A46" s="269" t="s">
        <v>4</v>
      </c>
      <c r="B46" s="251" t="s">
        <v>95</v>
      </c>
      <c r="C46" s="222" t="s">
        <v>0</v>
      </c>
      <c r="D46" s="222" t="s">
        <v>1</v>
      </c>
      <c r="E46" s="223" t="s">
        <v>29</v>
      </c>
      <c r="F46" s="224"/>
      <c r="G46" s="225"/>
      <c r="I46" s="63"/>
    </row>
    <row r="47" spans="1:9" ht="25.5" x14ac:dyDescent="0.2">
      <c r="A47" s="269"/>
      <c r="B47" s="252"/>
      <c r="C47" s="222"/>
      <c r="D47" s="222"/>
      <c r="E47" s="82" t="s">
        <v>27</v>
      </c>
      <c r="F47" s="82" t="s">
        <v>11</v>
      </c>
      <c r="G47" s="83" t="s">
        <v>14</v>
      </c>
      <c r="H47" s="83" t="s">
        <v>131</v>
      </c>
      <c r="I47" s="83" t="s">
        <v>130</v>
      </c>
    </row>
    <row r="48" spans="1:9" ht="12.75" customHeight="1" x14ac:dyDescent="0.2">
      <c r="A48" s="94"/>
      <c r="G48" s="64"/>
      <c r="I48" s="63"/>
    </row>
    <row r="49" spans="1:9" ht="30" customHeight="1" x14ac:dyDescent="0.2">
      <c r="A49" s="226">
        <v>20</v>
      </c>
      <c r="B49" s="199" t="s">
        <v>118</v>
      </c>
      <c r="C49" s="230" t="s">
        <v>19</v>
      </c>
      <c r="D49" s="249" t="s">
        <v>117</v>
      </c>
      <c r="E49" s="82" t="s">
        <v>25</v>
      </c>
      <c r="F49" s="69" t="s">
        <v>43</v>
      </c>
      <c r="G49" s="65"/>
      <c r="H49" s="109">
        <v>5</v>
      </c>
      <c r="I49" s="118">
        <f t="shared" ref="I49:I51" si="2">H49*G49</f>
        <v>0</v>
      </c>
    </row>
    <row r="50" spans="1:9" ht="30" customHeight="1" x14ac:dyDescent="0.2">
      <c r="A50" s="226"/>
      <c r="B50" s="217"/>
      <c r="C50" s="230"/>
      <c r="D50" s="232"/>
      <c r="E50" s="82" t="s">
        <v>26</v>
      </c>
      <c r="F50" s="69" t="s">
        <v>44</v>
      </c>
      <c r="G50" s="65"/>
      <c r="H50" s="109">
        <v>5</v>
      </c>
      <c r="I50" s="118">
        <f t="shared" si="2"/>
        <v>0</v>
      </c>
    </row>
    <row r="51" spans="1:9" ht="30" customHeight="1" x14ac:dyDescent="0.2">
      <c r="A51" s="226"/>
      <c r="B51" s="200"/>
      <c r="C51" s="230"/>
      <c r="D51" s="233"/>
      <c r="E51" s="82" t="s">
        <v>28</v>
      </c>
      <c r="F51" s="69" t="s">
        <v>45</v>
      </c>
      <c r="G51" s="65"/>
      <c r="H51" s="109">
        <v>5</v>
      </c>
      <c r="I51" s="118">
        <f t="shared" si="2"/>
        <v>0</v>
      </c>
    </row>
    <row r="52" spans="1:9" x14ac:dyDescent="0.2">
      <c r="A52" s="94"/>
      <c r="C52" s="117"/>
      <c r="G52" s="64"/>
      <c r="I52" s="63"/>
    </row>
    <row r="53" spans="1:9" ht="12.75" customHeight="1" x14ac:dyDescent="0.2">
      <c r="A53" s="196" t="s">
        <v>55</v>
      </c>
      <c r="B53" s="197"/>
      <c r="C53" s="197"/>
      <c r="D53" s="197"/>
      <c r="E53" s="197"/>
      <c r="F53" s="197"/>
      <c r="G53" s="198"/>
      <c r="I53" s="63"/>
    </row>
    <row r="54" spans="1:9" ht="7.5" customHeight="1" x14ac:dyDescent="0.2">
      <c r="A54" s="99"/>
      <c r="B54" s="112"/>
      <c r="C54" s="112"/>
      <c r="D54" s="112"/>
      <c r="E54" s="112"/>
      <c r="F54" s="112"/>
      <c r="G54" s="71"/>
      <c r="I54" s="63"/>
    </row>
    <row r="55" spans="1:9" ht="7.5" customHeight="1" x14ac:dyDescent="0.2">
      <c r="A55" s="99"/>
      <c r="B55" s="112"/>
      <c r="C55" s="112"/>
      <c r="D55" s="112"/>
      <c r="E55" s="112"/>
      <c r="F55" s="112"/>
      <c r="G55" s="71"/>
      <c r="I55" s="63"/>
    </row>
    <row r="56" spans="1:9" ht="28.9" customHeight="1" x14ac:dyDescent="0.2">
      <c r="A56" s="253" t="s">
        <v>4</v>
      </c>
      <c r="B56" s="220" t="s">
        <v>53</v>
      </c>
      <c r="C56" s="255" t="s">
        <v>0</v>
      </c>
      <c r="D56" s="112"/>
      <c r="E56" s="227" t="s">
        <v>10</v>
      </c>
      <c r="F56" s="228"/>
      <c r="G56" s="229"/>
      <c r="I56" s="63"/>
    </row>
    <row r="57" spans="1:9" ht="25.5" x14ac:dyDescent="0.2">
      <c r="A57" s="254"/>
      <c r="B57" s="221"/>
      <c r="C57" s="256"/>
      <c r="D57" s="106"/>
      <c r="E57" s="105" t="s">
        <v>13</v>
      </c>
      <c r="F57" s="104" t="s">
        <v>11</v>
      </c>
      <c r="G57" s="103" t="s">
        <v>14</v>
      </c>
      <c r="H57" s="103" t="s">
        <v>131</v>
      </c>
      <c r="I57" s="103" t="s">
        <v>130</v>
      </c>
    </row>
    <row r="58" spans="1:9" x14ac:dyDescent="0.2">
      <c r="A58" s="100"/>
      <c r="B58" s="77"/>
      <c r="C58" s="77"/>
      <c r="D58" s="77"/>
      <c r="E58" s="73"/>
      <c r="F58" s="73"/>
      <c r="G58" s="72"/>
      <c r="I58" s="63"/>
    </row>
    <row r="59" spans="1:9" ht="13.5" customHeight="1" x14ac:dyDescent="0.2">
      <c r="A59" s="226">
        <v>9</v>
      </c>
      <c r="B59" s="199" t="s">
        <v>120</v>
      </c>
      <c r="C59" s="230" t="s">
        <v>9</v>
      </c>
      <c r="D59" s="231" t="s">
        <v>54</v>
      </c>
      <c r="E59" s="102" t="s">
        <v>2</v>
      </c>
      <c r="F59" s="69" t="s">
        <v>37</v>
      </c>
      <c r="G59" s="78"/>
      <c r="H59" s="110">
        <v>25</v>
      </c>
      <c r="I59" s="115">
        <f t="shared" ref="I59:I73" si="3">H59*G59</f>
        <v>0</v>
      </c>
    </row>
    <row r="60" spans="1:9" x14ac:dyDescent="0.2">
      <c r="A60" s="226"/>
      <c r="B60" s="217"/>
      <c r="C60" s="230"/>
      <c r="D60" s="232"/>
      <c r="E60" s="102" t="s">
        <v>3</v>
      </c>
      <c r="F60" s="69" t="s">
        <v>38</v>
      </c>
      <c r="G60" s="78"/>
      <c r="H60" s="110">
        <v>40</v>
      </c>
      <c r="I60" s="115">
        <f t="shared" si="3"/>
        <v>0</v>
      </c>
    </row>
    <row r="61" spans="1:9" x14ac:dyDescent="0.2">
      <c r="A61" s="226"/>
      <c r="B61" s="200"/>
      <c r="C61" s="230"/>
      <c r="D61" s="233"/>
      <c r="E61" s="102" t="s">
        <v>8</v>
      </c>
      <c r="F61" s="69" t="s">
        <v>39</v>
      </c>
      <c r="G61" s="78"/>
      <c r="H61" s="110">
        <v>20</v>
      </c>
      <c r="I61" s="115">
        <f t="shared" si="3"/>
        <v>0</v>
      </c>
    </row>
    <row r="62" spans="1:9" x14ac:dyDescent="0.2">
      <c r="A62" s="226">
        <v>27</v>
      </c>
      <c r="B62" s="199" t="s">
        <v>119</v>
      </c>
      <c r="C62" s="236" t="s">
        <v>5</v>
      </c>
      <c r="D62" s="230" t="s">
        <v>7</v>
      </c>
      <c r="E62" s="76" t="s">
        <v>16</v>
      </c>
      <c r="F62" s="69" t="s">
        <v>46</v>
      </c>
      <c r="G62" s="78"/>
      <c r="H62" s="110">
        <v>50</v>
      </c>
      <c r="I62" s="115">
        <f t="shared" si="3"/>
        <v>0</v>
      </c>
    </row>
    <row r="63" spans="1:9" x14ac:dyDescent="0.2">
      <c r="A63" s="226"/>
      <c r="B63" s="217"/>
      <c r="C63" s="236"/>
      <c r="D63" s="230"/>
      <c r="E63" s="76" t="s">
        <v>20</v>
      </c>
      <c r="F63" s="69" t="s">
        <v>47</v>
      </c>
      <c r="G63" s="78"/>
      <c r="H63" s="110">
        <v>50</v>
      </c>
      <c r="I63" s="115">
        <f t="shared" si="3"/>
        <v>0</v>
      </c>
    </row>
    <row r="64" spans="1:9" x14ac:dyDescent="0.2">
      <c r="A64" s="226"/>
      <c r="B64" s="217"/>
      <c r="C64" s="236"/>
      <c r="D64" s="230"/>
      <c r="E64" s="76" t="s">
        <v>21</v>
      </c>
      <c r="F64" s="69" t="s">
        <v>48</v>
      </c>
      <c r="G64" s="78"/>
      <c r="H64" s="110">
        <v>100</v>
      </c>
      <c r="I64" s="115">
        <f t="shared" si="3"/>
        <v>0</v>
      </c>
    </row>
    <row r="65" spans="1:9" x14ac:dyDescent="0.2">
      <c r="A65" s="226">
        <v>28</v>
      </c>
      <c r="B65" s="199" t="s">
        <v>119</v>
      </c>
      <c r="C65" s="230" t="s">
        <v>6</v>
      </c>
      <c r="D65" s="230" t="s">
        <v>7</v>
      </c>
      <c r="E65" s="76" t="s">
        <v>16</v>
      </c>
      <c r="F65" s="69" t="s">
        <v>49</v>
      </c>
      <c r="G65" s="78"/>
      <c r="H65" s="110">
        <v>50</v>
      </c>
      <c r="I65" s="115">
        <f t="shared" si="3"/>
        <v>0</v>
      </c>
    </row>
    <row r="66" spans="1:9" x14ac:dyDescent="0.2">
      <c r="A66" s="226"/>
      <c r="B66" s="217"/>
      <c r="C66" s="230"/>
      <c r="D66" s="230"/>
      <c r="E66" s="76" t="s">
        <v>20</v>
      </c>
      <c r="F66" s="69" t="s">
        <v>50</v>
      </c>
      <c r="G66" s="78"/>
      <c r="H66" s="110">
        <v>4000</v>
      </c>
      <c r="I66" s="115">
        <f t="shared" si="3"/>
        <v>0</v>
      </c>
    </row>
    <row r="67" spans="1:9" x14ac:dyDescent="0.2">
      <c r="A67" s="226"/>
      <c r="B67" s="200"/>
      <c r="C67" s="230"/>
      <c r="D67" s="230"/>
      <c r="E67" s="76" t="s">
        <v>21</v>
      </c>
      <c r="F67" s="69" t="s">
        <v>51</v>
      </c>
      <c r="G67" s="78"/>
      <c r="H67" s="110">
        <v>7000</v>
      </c>
      <c r="I67" s="115">
        <f t="shared" si="3"/>
        <v>0</v>
      </c>
    </row>
    <row r="68" spans="1:9" ht="13.5" customHeight="1" x14ac:dyDescent="0.2">
      <c r="A68" s="194" t="s">
        <v>56</v>
      </c>
      <c r="B68" s="215" t="s">
        <v>121</v>
      </c>
      <c r="C68" s="142" t="s">
        <v>102</v>
      </c>
      <c r="D68" s="206" t="s">
        <v>65</v>
      </c>
      <c r="E68" s="102" t="s">
        <v>2</v>
      </c>
      <c r="F68" s="81" t="s">
        <v>56</v>
      </c>
      <c r="G68" s="78"/>
      <c r="H68" s="110">
        <v>20</v>
      </c>
      <c r="I68" s="115">
        <f t="shared" si="3"/>
        <v>0</v>
      </c>
    </row>
    <row r="69" spans="1:9" x14ac:dyDescent="0.2">
      <c r="A69" s="194"/>
      <c r="B69" s="234"/>
      <c r="C69" s="142"/>
      <c r="D69" s="214"/>
      <c r="E69" s="102" t="s">
        <v>3</v>
      </c>
      <c r="F69" s="81" t="s">
        <v>56</v>
      </c>
      <c r="G69" s="78"/>
      <c r="H69" s="110">
        <v>20</v>
      </c>
      <c r="I69" s="115">
        <f t="shared" si="3"/>
        <v>0</v>
      </c>
    </row>
    <row r="70" spans="1:9" x14ac:dyDescent="0.2">
      <c r="A70" s="194"/>
      <c r="B70" s="216"/>
      <c r="C70" s="142"/>
      <c r="D70" s="207"/>
      <c r="E70" s="102" t="s">
        <v>8</v>
      </c>
      <c r="F70" s="81" t="s">
        <v>56</v>
      </c>
      <c r="G70" s="78"/>
      <c r="H70" s="110">
        <v>20</v>
      </c>
      <c r="I70" s="115">
        <f t="shared" si="3"/>
        <v>0</v>
      </c>
    </row>
    <row r="71" spans="1:9" ht="13.5" customHeight="1" x14ac:dyDescent="0.2">
      <c r="A71" s="194" t="s">
        <v>56</v>
      </c>
      <c r="B71" s="215" t="s">
        <v>121</v>
      </c>
      <c r="C71" s="142" t="s">
        <v>66</v>
      </c>
      <c r="D71" s="206" t="s">
        <v>65</v>
      </c>
      <c r="E71" s="102" t="s">
        <v>2</v>
      </c>
      <c r="F71" s="81" t="s">
        <v>56</v>
      </c>
      <c r="G71" s="78"/>
      <c r="H71" s="110">
        <v>20</v>
      </c>
      <c r="I71" s="115">
        <f t="shared" si="3"/>
        <v>0</v>
      </c>
    </row>
    <row r="72" spans="1:9" x14ac:dyDescent="0.2">
      <c r="A72" s="194"/>
      <c r="B72" s="234"/>
      <c r="C72" s="142"/>
      <c r="D72" s="214"/>
      <c r="E72" s="102" t="s">
        <v>3</v>
      </c>
      <c r="F72" s="81" t="s">
        <v>56</v>
      </c>
      <c r="G72" s="78"/>
      <c r="H72" s="110">
        <v>20</v>
      </c>
      <c r="I72" s="115">
        <f t="shared" si="3"/>
        <v>0</v>
      </c>
    </row>
    <row r="73" spans="1:9" x14ac:dyDescent="0.2">
      <c r="A73" s="194"/>
      <c r="B73" s="216"/>
      <c r="C73" s="142"/>
      <c r="D73" s="207"/>
      <c r="E73" s="102" t="s">
        <v>8</v>
      </c>
      <c r="F73" s="81" t="s">
        <v>56</v>
      </c>
      <c r="G73" s="78"/>
      <c r="H73" s="110">
        <v>20</v>
      </c>
      <c r="I73" s="115">
        <f t="shared" si="3"/>
        <v>0</v>
      </c>
    </row>
    <row r="74" spans="1:9" x14ac:dyDescent="0.2">
      <c r="A74" s="101"/>
      <c r="B74" s="75"/>
      <c r="C74" s="87"/>
      <c r="D74" s="74"/>
      <c r="E74" s="74"/>
      <c r="F74" s="74"/>
      <c r="G74" s="86"/>
      <c r="I74" s="63"/>
    </row>
    <row r="75" spans="1:9" ht="12.75" customHeight="1" x14ac:dyDescent="0.2">
      <c r="A75" s="196" t="s">
        <v>67</v>
      </c>
      <c r="B75" s="197"/>
      <c r="C75" s="197"/>
      <c r="D75" s="197"/>
      <c r="E75" s="197"/>
      <c r="F75" s="197"/>
      <c r="G75" s="198"/>
      <c r="I75" s="63"/>
    </row>
    <row r="76" spans="1:9" x14ac:dyDescent="0.2">
      <c r="A76" s="101"/>
      <c r="B76" s="66"/>
      <c r="C76" s="87"/>
      <c r="D76" s="74"/>
      <c r="E76" s="74"/>
      <c r="F76" s="74"/>
      <c r="G76" s="86"/>
      <c r="I76" s="63"/>
    </row>
    <row r="77" spans="1:9" ht="27" customHeight="1" x14ac:dyDescent="0.2">
      <c r="A77" s="260" t="s">
        <v>4</v>
      </c>
      <c r="B77" s="250" t="s">
        <v>53</v>
      </c>
      <c r="C77" s="250" t="s">
        <v>0</v>
      </c>
      <c r="D77" s="250" t="s">
        <v>1</v>
      </c>
      <c r="E77" s="257" t="s">
        <v>24</v>
      </c>
      <c r="F77" s="258"/>
      <c r="G77" s="259"/>
      <c r="I77" s="63"/>
    </row>
    <row r="78" spans="1:9" ht="25.5" x14ac:dyDescent="0.2">
      <c r="A78" s="260"/>
      <c r="B78" s="250"/>
      <c r="C78" s="250"/>
      <c r="D78" s="250"/>
      <c r="E78" s="60" t="s">
        <v>12</v>
      </c>
      <c r="F78" s="60" t="s">
        <v>11</v>
      </c>
      <c r="G78" s="85" t="s">
        <v>14</v>
      </c>
      <c r="H78" s="60" t="s">
        <v>131</v>
      </c>
      <c r="I78" s="85" t="s">
        <v>130</v>
      </c>
    </row>
    <row r="79" spans="1:9" ht="13.5" customHeight="1" x14ac:dyDescent="0.2">
      <c r="A79" s="100"/>
      <c r="B79" s="67"/>
      <c r="C79" s="77"/>
      <c r="D79" s="77"/>
      <c r="E79" s="73"/>
      <c r="F79" s="73"/>
      <c r="G79" s="72"/>
      <c r="I79" s="63"/>
    </row>
    <row r="80" spans="1:9" ht="27" customHeight="1" x14ac:dyDescent="0.2">
      <c r="A80" s="194" t="s">
        <v>56</v>
      </c>
      <c r="B80" s="215" t="s">
        <v>122</v>
      </c>
      <c r="C80" s="142" t="s">
        <v>68</v>
      </c>
      <c r="D80" s="142" t="s">
        <v>69</v>
      </c>
      <c r="E80" s="60" t="s">
        <v>70</v>
      </c>
      <c r="F80" s="81" t="s">
        <v>56</v>
      </c>
      <c r="G80" s="78"/>
      <c r="H80" s="110">
        <v>30</v>
      </c>
      <c r="I80" s="115">
        <f t="shared" ref="I80:I94" si="4">H80*G80</f>
        <v>0</v>
      </c>
    </row>
    <row r="81" spans="1:9" ht="27" customHeight="1" x14ac:dyDescent="0.2">
      <c r="A81" s="194"/>
      <c r="B81" s="216"/>
      <c r="C81" s="142"/>
      <c r="D81" s="142"/>
      <c r="E81" s="60" t="s">
        <v>71</v>
      </c>
      <c r="F81" s="81" t="s">
        <v>56</v>
      </c>
      <c r="G81" s="78"/>
      <c r="H81" s="110">
        <v>30</v>
      </c>
      <c r="I81" s="115">
        <f t="shared" si="4"/>
        <v>0</v>
      </c>
    </row>
    <row r="82" spans="1:9" ht="48" customHeight="1" x14ac:dyDescent="0.2">
      <c r="A82" s="98" t="s">
        <v>56</v>
      </c>
      <c r="B82" s="67" t="s">
        <v>123</v>
      </c>
      <c r="C82" s="61" t="s">
        <v>72</v>
      </c>
      <c r="D82" s="61" t="s">
        <v>73</v>
      </c>
      <c r="E82" s="62" t="s">
        <v>54</v>
      </c>
      <c r="F82" s="81" t="s">
        <v>56</v>
      </c>
      <c r="G82" s="78"/>
      <c r="H82" s="110">
        <v>20</v>
      </c>
      <c r="I82" s="115">
        <f t="shared" si="4"/>
        <v>0</v>
      </c>
    </row>
    <row r="83" spans="1:9" ht="12.75" customHeight="1" x14ac:dyDescent="0.2">
      <c r="A83" s="194" t="s">
        <v>56</v>
      </c>
      <c r="B83" s="199" t="s">
        <v>123</v>
      </c>
      <c r="C83" s="142" t="s">
        <v>80</v>
      </c>
      <c r="D83" s="206" t="s">
        <v>74</v>
      </c>
      <c r="E83" s="60" t="s">
        <v>75</v>
      </c>
      <c r="F83" s="81" t="s">
        <v>56</v>
      </c>
      <c r="G83" s="89"/>
      <c r="H83" s="110">
        <v>20</v>
      </c>
      <c r="I83" s="115">
        <f t="shared" si="4"/>
        <v>0</v>
      </c>
    </row>
    <row r="84" spans="1:9" ht="12.75" customHeight="1" x14ac:dyDescent="0.2">
      <c r="A84" s="194"/>
      <c r="B84" s="217"/>
      <c r="C84" s="142"/>
      <c r="D84" s="214"/>
      <c r="E84" s="60" t="s">
        <v>76</v>
      </c>
      <c r="F84" s="81" t="s">
        <v>56</v>
      </c>
      <c r="G84" s="89"/>
      <c r="H84" s="110">
        <v>12</v>
      </c>
      <c r="I84" s="115">
        <f t="shared" si="4"/>
        <v>0</v>
      </c>
    </row>
    <row r="85" spans="1:9" ht="48.4" customHeight="1" x14ac:dyDescent="0.2">
      <c r="A85" s="194"/>
      <c r="B85" s="200"/>
      <c r="C85" s="142"/>
      <c r="D85" s="214"/>
      <c r="E85" s="60" t="s">
        <v>77</v>
      </c>
      <c r="F85" s="81" t="s">
        <v>56</v>
      </c>
      <c r="G85" s="89"/>
      <c r="H85" s="110">
        <v>10</v>
      </c>
      <c r="I85" s="115">
        <f t="shared" si="4"/>
        <v>0</v>
      </c>
    </row>
    <row r="86" spans="1:9" ht="12.75" customHeight="1" x14ac:dyDescent="0.2">
      <c r="A86" s="194" t="s">
        <v>56</v>
      </c>
      <c r="B86" s="199" t="s">
        <v>123</v>
      </c>
      <c r="C86" s="142" t="s">
        <v>79</v>
      </c>
      <c r="D86" s="206" t="s">
        <v>74</v>
      </c>
      <c r="E86" s="60" t="s">
        <v>75</v>
      </c>
      <c r="F86" s="81" t="s">
        <v>56</v>
      </c>
      <c r="G86" s="89"/>
      <c r="H86" s="110">
        <v>10</v>
      </c>
      <c r="I86" s="115">
        <f t="shared" si="4"/>
        <v>0</v>
      </c>
    </row>
    <row r="87" spans="1:9" ht="12.75" customHeight="1" x14ac:dyDescent="0.2">
      <c r="A87" s="194"/>
      <c r="B87" s="217"/>
      <c r="C87" s="142"/>
      <c r="D87" s="214"/>
      <c r="E87" s="60" t="s">
        <v>76</v>
      </c>
      <c r="F87" s="81" t="s">
        <v>56</v>
      </c>
      <c r="G87" s="89"/>
      <c r="H87" s="110">
        <v>5</v>
      </c>
      <c r="I87" s="115">
        <f t="shared" si="4"/>
        <v>0</v>
      </c>
    </row>
    <row r="88" spans="1:9" ht="66.400000000000006" customHeight="1" x14ac:dyDescent="0.2">
      <c r="A88" s="194"/>
      <c r="B88" s="200"/>
      <c r="C88" s="142"/>
      <c r="D88" s="214"/>
      <c r="E88" s="60" t="s">
        <v>77</v>
      </c>
      <c r="F88" s="81" t="s">
        <v>56</v>
      </c>
      <c r="G88" s="89"/>
      <c r="H88" s="110">
        <v>5</v>
      </c>
      <c r="I88" s="115">
        <f t="shared" si="4"/>
        <v>0</v>
      </c>
    </row>
    <row r="89" spans="1:9" ht="15.95" customHeight="1" x14ac:dyDescent="0.2">
      <c r="A89" s="194" t="s">
        <v>56</v>
      </c>
      <c r="B89" s="199" t="s">
        <v>124</v>
      </c>
      <c r="C89" s="142" t="s">
        <v>78</v>
      </c>
      <c r="D89" s="230" t="s">
        <v>7</v>
      </c>
      <c r="E89" s="60" t="s">
        <v>2</v>
      </c>
      <c r="F89" s="69" t="s">
        <v>40</v>
      </c>
      <c r="G89" s="78"/>
      <c r="H89" s="110">
        <v>50</v>
      </c>
      <c r="I89" s="115">
        <f t="shared" si="4"/>
        <v>0</v>
      </c>
    </row>
    <row r="90" spans="1:9" ht="15.95" customHeight="1" x14ac:dyDescent="0.2">
      <c r="A90" s="194"/>
      <c r="B90" s="217"/>
      <c r="C90" s="142"/>
      <c r="D90" s="230"/>
      <c r="E90" s="60" t="s">
        <v>3</v>
      </c>
      <c r="F90" s="69" t="s">
        <v>41</v>
      </c>
      <c r="G90" s="78"/>
      <c r="H90" s="110">
        <v>50</v>
      </c>
      <c r="I90" s="115">
        <f t="shared" si="4"/>
        <v>0</v>
      </c>
    </row>
    <row r="91" spans="1:9" ht="15.95" customHeight="1" x14ac:dyDescent="0.2">
      <c r="A91" s="194"/>
      <c r="B91" s="200"/>
      <c r="C91" s="142"/>
      <c r="D91" s="230"/>
      <c r="E91" s="60" t="s">
        <v>8</v>
      </c>
      <c r="F91" s="69" t="s">
        <v>42</v>
      </c>
      <c r="G91" s="78"/>
      <c r="H91" s="110">
        <v>300</v>
      </c>
      <c r="I91" s="115">
        <f t="shared" si="4"/>
        <v>0</v>
      </c>
    </row>
    <row r="92" spans="1:9" ht="15.95" customHeight="1" x14ac:dyDescent="0.2">
      <c r="A92" s="194" t="s">
        <v>56</v>
      </c>
      <c r="B92" s="199" t="s">
        <v>125</v>
      </c>
      <c r="C92" s="142" t="s">
        <v>81</v>
      </c>
      <c r="D92" s="142" t="s">
        <v>7</v>
      </c>
      <c r="E92" s="60" t="s">
        <v>2</v>
      </c>
      <c r="F92" s="81" t="s">
        <v>56</v>
      </c>
      <c r="G92" s="78"/>
      <c r="H92" s="110">
        <v>15</v>
      </c>
      <c r="I92" s="115">
        <f t="shared" si="4"/>
        <v>0</v>
      </c>
    </row>
    <row r="93" spans="1:9" ht="15.95" customHeight="1" x14ac:dyDescent="0.2">
      <c r="A93" s="194"/>
      <c r="B93" s="217"/>
      <c r="C93" s="142"/>
      <c r="D93" s="142"/>
      <c r="E93" s="60" t="s">
        <v>3</v>
      </c>
      <c r="F93" s="81" t="s">
        <v>56</v>
      </c>
      <c r="G93" s="78"/>
      <c r="H93" s="110">
        <v>20</v>
      </c>
      <c r="I93" s="115">
        <f t="shared" si="4"/>
        <v>0</v>
      </c>
    </row>
    <row r="94" spans="1:9" ht="15.95" customHeight="1" x14ac:dyDescent="0.2">
      <c r="A94" s="194"/>
      <c r="B94" s="200"/>
      <c r="C94" s="142"/>
      <c r="D94" s="142"/>
      <c r="E94" s="60" t="s">
        <v>8</v>
      </c>
      <c r="F94" s="81" t="s">
        <v>56</v>
      </c>
      <c r="G94" s="78"/>
      <c r="H94" s="110">
        <v>20</v>
      </c>
      <c r="I94" s="115">
        <f t="shared" si="4"/>
        <v>0</v>
      </c>
    </row>
    <row r="95" spans="1:9" ht="13.5" customHeight="1" x14ac:dyDescent="0.2">
      <c r="A95" s="100"/>
      <c r="B95" s="77"/>
      <c r="C95" s="77"/>
      <c r="D95" s="77"/>
      <c r="E95" s="73"/>
      <c r="F95" s="73"/>
      <c r="G95" s="72"/>
      <c r="H95" s="107"/>
      <c r="I95" s="63"/>
    </row>
    <row r="96" spans="1:9" ht="12.75" customHeight="1" x14ac:dyDescent="0.2">
      <c r="A96" s="196" t="s">
        <v>90</v>
      </c>
      <c r="B96" s="197"/>
      <c r="C96" s="197"/>
      <c r="D96" s="197"/>
      <c r="E96" s="197"/>
      <c r="F96" s="197"/>
      <c r="G96" s="198"/>
      <c r="H96" s="107"/>
      <c r="I96" s="63"/>
    </row>
    <row r="97" spans="1:9" ht="27" customHeight="1" x14ac:dyDescent="0.2">
      <c r="A97" s="201" t="s">
        <v>56</v>
      </c>
      <c r="B97" s="199" t="s">
        <v>108</v>
      </c>
      <c r="C97" s="206" t="s">
        <v>107</v>
      </c>
      <c r="D97" s="206" t="s">
        <v>84</v>
      </c>
      <c r="E97" s="60" t="s">
        <v>85</v>
      </c>
      <c r="F97" s="81" t="s">
        <v>56</v>
      </c>
      <c r="G97" s="78"/>
      <c r="H97" s="108">
        <v>2</v>
      </c>
      <c r="I97" s="115">
        <f t="shared" ref="I97:I111" si="5">H97*G97</f>
        <v>0</v>
      </c>
    </row>
    <row r="98" spans="1:9" ht="27" customHeight="1" x14ac:dyDescent="0.2">
      <c r="A98" s="202"/>
      <c r="B98" s="200"/>
      <c r="C98" s="207"/>
      <c r="D98" s="207"/>
      <c r="E98" s="60" t="s">
        <v>86</v>
      </c>
      <c r="F98" s="81" t="s">
        <v>56</v>
      </c>
      <c r="G98" s="78"/>
      <c r="H98" s="108">
        <v>5</v>
      </c>
      <c r="I98" s="115">
        <f t="shared" si="5"/>
        <v>0</v>
      </c>
    </row>
    <row r="99" spans="1:9" ht="27" customHeight="1" x14ac:dyDescent="0.2">
      <c r="A99" s="201" t="s">
        <v>56</v>
      </c>
      <c r="B99" s="199" t="s">
        <v>109</v>
      </c>
      <c r="C99" s="206" t="s">
        <v>103</v>
      </c>
      <c r="D99" s="206" t="s">
        <v>84</v>
      </c>
      <c r="E99" s="60" t="s">
        <v>85</v>
      </c>
      <c r="F99" s="81" t="s">
        <v>56</v>
      </c>
      <c r="G99" s="78"/>
      <c r="H99" s="108">
        <v>2</v>
      </c>
      <c r="I99" s="115">
        <f t="shared" si="5"/>
        <v>0</v>
      </c>
    </row>
    <row r="100" spans="1:9" ht="27" customHeight="1" x14ac:dyDescent="0.2">
      <c r="A100" s="202"/>
      <c r="B100" s="200"/>
      <c r="C100" s="207"/>
      <c r="D100" s="207"/>
      <c r="E100" s="60" t="s">
        <v>86</v>
      </c>
      <c r="F100" s="81" t="s">
        <v>56</v>
      </c>
      <c r="G100" s="78"/>
      <c r="H100" s="108">
        <v>8</v>
      </c>
      <c r="I100" s="115">
        <f t="shared" si="5"/>
        <v>0</v>
      </c>
    </row>
    <row r="101" spans="1:9" ht="27" customHeight="1" x14ac:dyDescent="0.2">
      <c r="A101" s="194" t="s">
        <v>56</v>
      </c>
      <c r="B101" s="199" t="s">
        <v>109</v>
      </c>
      <c r="C101" s="142" t="s">
        <v>104</v>
      </c>
      <c r="D101" s="142" t="s">
        <v>84</v>
      </c>
      <c r="E101" s="60" t="s">
        <v>85</v>
      </c>
      <c r="F101" s="81" t="s">
        <v>56</v>
      </c>
      <c r="G101" s="78"/>
      <c r="H101" s="108">
        <v>2</v>
      </c>
      <c r="I101" s="115">
        <f t="shared" si="5"/>
        <v>0</v>
      </c>
    </row>
    <row r="102" spans="1:9" ht="27" customHeight="1" x14ac:dyDescent="0.2">
      <c r="A102" s="194"/>
      <c r="B102" s="200"/>
      <c r="C102" s="142"/>
      <c r="D102" s="142"/>
      <c r="E102" s="60" t="s">
        <v>86</v>
      </c>
      <c r="F102" s="81" t="s">
        <v>56</v>
      </c>
      <c r="G102" s="78"/>
      <c r="H102" s="108">
        <v>5</v>
      </c>
      <c r="I102" s="115">
        <f t="shared" si="5"/>
        <v>0</v>
      </c>
    </row>
    <row r="103" spans="1:9" ht="27" customHeight="1" x14ac:dyDescent="0.2">
      <c r="A103" s="194" t="s">
        <v>56</v>
      </c>
      <c r="B103" s="199" t="s">
        <v>110</v>
      </c>
      <c r="C103" s="142" t="s">
        <v>105</v>
      </c>
      <c r="D103" s="142" t="s">
        <v>84</v>
      </c>
      <c r="E103" s="60" t="s">
        <v>85</v>
      </c>
      <c r="F103" s="81" t="s">
        <v>56</v>
      </c>
      <c r="G103" s="78"/>
      <c r="H103" s="108">
        <v>10</v>
      </c>
      <c r="I103" s="115">
        <f t="shared" si="5"/>
        <v>0</v>
      </c>
    </row>
    <row r="104" spans="1:9" ht="27" customHeight="1" x14ac:dyDescent="0.2">
      <c r="A104" s="194"/>
      <c r="B104" s="200"/>
      <c r="C104" s="142"/>
      <c r="D104" s="142"/>
      <c r="E104" s="60" t="s">
        <v>86</v>
      </c>
      <c r="F104" s="81" t="s">
        <v>56</v>
      </c>
      <c r="G104" s="78"/>
      <c r="H104" s="108">
        <v>15</v>
      </c>
      <c r="I104" s="115">
        <f t="shared" si="5"/>
        <v>0</v>
      </c>
    </row>
    <row r="105" spans="1:9" ht="27" customHeight="1" x14ac:dyDescent="0.2">
      <c r="A105" s="194" t="s">
        <v>56</v>
      </c>
      <c r="B105" s="199" t="s">
        <v>111</v>
      </c>
      <c r="C105" s="142" t="s">
        <v>87</v>
      </c>
      <c r="D105" s="142" t="s">
        <v>84</v>
      </c>
      <c r="E105" s="60" t="s">
        <v>85</v>
      </c>
      <c r="F105" s="81" t="s">
        <v>56</v>
      </c>
      <c r="G105" s="78"/>
      <c r="H105" s="108">
        <v>10</v>
      </c>
      <c r="I105" s="115">
        <f t="shared" si="5"/>
        <v>0</v>
      </c>
    </row>
    <row r="106" spans="1:9" ht="27" customHeight="1" x14ac:dyDescent="0.2">
      <c r="A106" s="194"/>
      <c r="B106" s="200"/>
      <c r="C106" s="142"/>
      <c r="D106" s="142"/>
      <c r="E106" s="60" t="s">
        <v>86</v>
      </c>
      <c r="F106" s="81" t="s">
        <v>56</v>
      </c>
      <c r="G106" s="78"/>
      <c r="H106" s="108">
        <v>15</v>
      </c>
      <c r="I106" s="115">
        <f t="shared" si="5"/>
        <v>0</v>
      </c>
    </row>
    <row r="107" spans="1:9" ht="27" customHeight="1" x14ac:dyDescent="0.2">
      <c r="A107" s="194" t="s">
        <v>56</v>
      </c>
      <c r="B107" s="199" t="s">
        <v>112</v>
      </c>
      <c r="C107" s="142" t="s">
        <v>106</v>
      </c>
      <c r="D107" s="142" t="s">
        <v>84</v>
      </c>
      <c r="E107" s="60" t="s">
        <v>85</v>
      </c>
      <c r="F107" s="81" t="s">
        <v>56</v>
      </c>
      <c r="G107" s="78"/>
      <c r="H107" s="108">
        <v>5</v>
      </c>
      <c r="I107" s="115">
        <f t="shared" si="5"/>
        <v>0</v>
      </c>
    </row>
    <row r="108" spans="1:9" ht="27" customHeight="1" x14ac:dyDescent="0.2">
      <c r="A108" s="194"/>
      <c r="B108" s="200"/>
      <c r="C108" s="142"/>
      <c r="D108" s="142"/>
      <c r="E108" s="60" t="s">
        <v>86</v>
      </c>
      <c r="F108" s="81" t="s">
        <v>56</v>
      </c>
      <c r="G108" s="78"/>
      <c r="H108" s="108">
        <v>5</v>
      </c>
      <c r="I108" s="115">
        <f t="shared" si="5"/>
        <v>0</v>
      </c>
    </row>
    <row r="109" spans="1:9" ht="41.25" customHeight="1" x14ac:dyDescent="0.2">
      <c r="A109" s="98" t="s">
        <v>56</v>
      </c>
      <c r="B109" s="67" t="s">
        <v>113</v>
      </c>
      <c r="C109" s="61" t="s">
        <v>91</v>
      </c>
      <c r="D109" s="61" t="s">
        <v>92</v>
      </c>
      <c r="E109" s="62" t="s">
        <v>54</v>
      </c>
      <c r="F109" s="81" t="s">
        <v>56</v>
      </c>
      <c r="G109" s="78"/>
      <c r="H109" s="108">
        <v>30</v>
      </c>
      <c r="I109" s="115">
        <f t="shared" si="5"/>
        <v>0</v>
      </c>
    </row>
    <row r="110" spans="1:9" ht="27" customHeight="1" x14ac:dyDescent="0.2">
      <c r="A110" s="194" t="s">
        <v>56</v>
      </c>
      <c r="B110" s="199" t="s">
        <v>114</v>
      </c>
      <c r="C110" s="142" t="s">
        <v>94</v>
      </c>
      <c r="D110" s="142" t="s">
        <v>93</v>
      </c>
      <c r="E110" s="60" t="s">
        <v>134</v>
      </c>
      <c r="F110" s="81" t="s">
        <v>56</v>
      </c>
      <c r="G110" s="78"/>
      <c r="H110" s="108">
        <v>5</v>
      </c>
      <c r="I110" s="115">
        <f t="shared" si="5"/>
        <v>0</v>
      </c>
    </row>
    <row r="111" spans="1:9" ht="27" customHeight="1" thickBot="1" x14ac:dyDescent="0.25">
      <c r="A111" s="204"/>
      <c r="B111" s="203"/>
      <c r="C111" s="205"/>
      <c r="D111" s="205"/>
      <c r="E111" s="97" t="s">
        <v>132</v>
      </c>
      <c r="F111" s="96" t="s">
        <v>56</v>
      </c>
      <c r="G111" s="119"/>
      <c r="H111" s="120">
        <v>5</v>
      </c>
      <c r="I111" s="116">
        <f t="shared" si="5"/>
        <v>0</v>
      </c>
    </row>
    <row r="112" spans="1:9" ht="8.25" customHeight="1" thickBot="1" x14ac:dyDescent="0.25">
      <c r="A112" s="94"/>
      <c r="E112" s="68"/>
      <c r="F112" s="70"/>
      <c r="G112" s="95"/>
    </row>
    <row r="113" spans="1:9" ht="9" customHeight="1" x14ac:dyDescent="0.2">
      <c r="A113" s="94"/>
      <c r="E113" s="208" t="s">
        <v>133</v>
      </c>
      <c r="F113" s="209"/>
      <c r="G113" s="209"/>
      <c r="H113" s="209"/>
      <c r="I113" s="261">
        <f>SUM(I6:I111)</f>
        <v>0</v>
      </c>
    </row>
    <row r="114" spans="1:9" x14ac:dyDescent="0.2">
      <c r="A114" s="94"/>
      <c r="E114" s="210"/>
      <c r="F114" s="211"/>
      <c r="G114" s="211"/>
      <c r="H114" s="211"/>
      <c r="I114" s="262"/>
    </row>
    <row r="115" spans="1:9" ht="13.5" thickBot="1" x14ac:dyDescent="0.25">
      <c r="A115" s="94"/>
      <c r="E115" s="212"/>
      <c r="F115" s="213"/>
      <c r="G115" s="213"/>
      <c r="H115" s="213"/>
      <c r="I115" s="263"/>
    </row>
    <row r="116" spans="1:9" x14ac:dyDescent="0.2">
      <c r="A116" s="94"/>
    </row>
    <row r="117" spans="1:9" x14ac:dyDescent="0.2">
      <c r="A117" s="94"/>
    </row>
    <row r="118" spans="1:9" x14ac:dyDescent="0.2">
      <c r="A118" s="94"/>
    </row>
    <row r="119" spans="1:9" x14ac:dyDescent="0.2">
      <c r="A119" s="94"/>
    </row>
    <row r="120" spans="1:9" x14ac:dyDescent="0.2">
      <c r="A120" s="94"/>
    </row>
    <row r="121" spans="1:9" x14ac:dyDescent="0.2">
      <c r="A121" s="94"/>
    </row>
    <row r="122" spans="1:9" x14ac:dyDescent="0.2">
      <c r="A122" s="94"/>
    </row>
    <row r="123" spans="1:9" x14ac:dyDescent="0.2">
      <c r="A123" s="94"/>
    </row>
    <row r="124" spans="1:9" x14ac:dyDescent="0.2">
      <c r="A124" s="94"/>
    </row>
    <row r="125" spans="1:9" x14ac:dyDescent="0.2">
      <c r="A125" s="94"/>
    </row>
    <row r="126" spans="1:9" x14ac:dyDescent="0.2">
      <c r="A126" s="94"/>
    </row>
    <row r="127" spans="1:9" x14ac:dyDescent="0.2">
      <c r="A127" s="94"/>
    </row>
    <row r="128" spans="1:9" x14ac:dyDescent="0.2">
      <c r="A128" s="94"/>
    </row>
    <row r="129" spans="1:2" x14ac:dyDescent="0.2">
      <c r="A129" s="94"/>
    </row>
    <row r="130" spans="1:2" x14ac:dyDescent="0.2">
      <c r="A130" s="94"/>
    </row>
    <row r="131" spans="1:2" x14ac:dyDescent="0.2">
      <c r="A131" s="94"/>
    </row>
    <row r="132" spans="1:2" x14ac:dyDescent="0.2">
      <c r="A132" s="94"/>
      <c r="B132" s="58" t="s">
        <v>98</v>
      </c>
    </row>
    <row r="133" spans="1:2" x14ac:dyDescent="0.2">
      <c r="A133" s="94"/>
    </row>
    <row r="134" spans="1:2" x14ac:dyDescent="0.2">
      <c r="A134" s="94"/>
    </row>
    <row r="135" spans="1:2" x14ac:dyDescent="0.2">
      <c r="A135" s="94"/>
    </row>
    <row r="136" spans="1:2" x14ac:dyDescent="0.2">
      <c r="A136" s="94"/>
    </row>
    <row r="137" spans="1:2" x14ac:dyDescent="0.2">
      <c r="A137" s="94"/>
    </row>
    <row r="138" spans="1:2" x14ac:dyDescent="0.2">
      <c r="A138" s="94"/>
    </row>
    <row r="139" spans="1:2" x14ac:dyDescent="0.2">
      <c r="A139" s="94"/>
    </row>
    <row r="140" spans="1:2" x14ac:dyDescent="0.2">
      <c r="A140" s="94"/>
    </row>
    <row r="141" spans="1:2" x14ac:dyDescent="0.2">
      <c r="A141" s="94"/>
    </row>
    <row r="142" spans="1:2" x14ac:dyDescent="0.2">
      <c r="A142" s="94"/>
    </row>
    <row r="143" spans="1:2" x14ac:dyDescent="0.2">
      <c r="A143" s="94"/>
    </row>
    <row r="144" spans="1:2" x14ac:dyDescent="0.2">
      <c r="A144" s="94"/>
    </row>
    <row r="145" spans="1:2" x14ac:dyDescent="0.2">
      <c r="A145" s="94"/>
    </row>
    <row r="146" spans="1:2" x14ac:dyDescent="0.2">
      <c r="A146" s="94"/>
      <c r="B146" s="195" t="s">
        <v>95</v>
      </c>
    </row>
    <row r="147" spans="1:2" x14ac:dyDescent="0.2">
      <c r="A147" s="94"/>
      <c r="B147" s="195"/>
    </row>
    <row r="148" spans="1:2" x14ac:dyDescent="0.2">
      <c r="A148" s="94"/>
    </row>
    <row r="149" spans="1:2" x14ac:dyDescent="0.2">
      <c r="A149" s="94"/>
      <c r="B149" s="58" t="s">
        <v>99</v>
      </c>
    </row>
    <row r="150" spans="1:2" x14ac:dyDescent="0.2">
      <c r="A150" s="94"/>
    </row>
    <row r="151" spans="1:2" x14ac:dyDescent="0.2">
      <c r="A151" s="94"/>
    </row>
    <row r="152" spans="1:2" x14ac:dyDescent="0.2">
      <c r="A152" s="94"/>
    </row>
    <row r="153" spans="1:2" x14ac:dyDescent="0.2">
      <c r="A153" s="94"/>
      <c r="B153" s="58" t="s">
        <v>99</v>
      </c>
    </row>
    <row r="154" spans="1:2" x14ac:dyDescent="0.2">
      <c r="A154" s="94"/>
    </row>
    <row r="155" spans="1:2" x14ac:dyDescent="0.2">
      <c r="A155" s="94"/>
    </row>
    <row r="156" spans="1:2" x14ac:dyDescent="0.2">
      <c r="A156" s="94"/>
    </row>
    <row r="157" spans="1:2" x14ac:dyDescent="0.2">
      <c r="A157" s="94"/>
    </row>
    <row r="158" spans="1:2" x14ac:dyDescent="0.2">
      <c r="A158" s="94"/>
    </row>
    <row r="159" spans="1:2" x14ac:dyDescent="0.2">
      <c r="A159" s="94"/>
      <c r="B159" s="58" t="s">
        <v>99</v>
      </c>
    </row>
    <row r="160" spans="1:2" x14ac:dyDescent="0.2">
      <c r="A160" s="94"/>
    </row>
    <row r="161" spans="1:2" x14ac:dyDescent="0.2">
      <c r="A161" s="94"/>
    </row>
    <row r="162" spans="1:2" x14ac:dyDescent="0.2">
      <c r="A162" s="94"/>
    </row>
    <row r="163" spans="1:2" x14ac:dyDescent="0.2">
      <c r="A163" s="94"/>
    </row>
    <row r="164" spans="1:2" x14ac:dyDescent="0.2">
      <c r="A164" s="94"/>
    </row>
    <row r="165" spans="1:2" x14ac:dyDescent="0.2">
      <c r="A165" s="94"/>
    </row>
    <row r="166" spans="1:2" x14ac:dyDescent="0.2">
      <c r="A166" s="94"/>
    </row>
    <row r="167" spans="1:2" x14ac:dyDescent="0.2">
      <c r="A167" s="94"/>
    </row>
    <row r="168" spans="1:2" x14ac:dyDescent="0.2">
      <c r="A168" s="94"/>
      <c r="B168" s="58" t="s">
        <v>53</v>
      </c>
    </row>
    <row r="169" spans="1:2" x14ac:dyDescent="0.2">
      <c r="A169" s="94"/>
    </row>
    <row r="170" spans="1:2" x14ac:dyDescent="0.2">
      <c r="A170" s="94"/>
      <c r="B170" s="58" t="s">
        <v>100</v>
      </c>
    </row>
    <row r="171" spans="1:2" x14ac:dyDescent="0.2">
      <c r="A171" s="94"/>
    </row>
    <row r="172" spans="1:2" x14ac:dyDescent="0.2">
      <c r="A172" s="94"/>
    </row>
    <row r="173" spans="1:2" x14ac:dyDescent="0.2">
      <c r="A173" s="94"/>
    </row>
    <row r="174" spans="1:2" x14ac:dyDescent="0.2">
      <c r="A174" s="94"/>
    </row>
    <row r="175" spans="1:2" x14ac:dyDescent="0.2">
      <c r="A175" s="94"/>
      <c r="B175" s="58" t="s">
        <v>53</v>
      </c>
    </row>
    <row r="176" spans="1:2" x14ac:dyDescent="0.2">
      <c r="A176" s="94"/>
    </row>
    <row r="177" spans="1:7" x14ac:dyDescent="0.2">
      <c r="A177" s="94"/>
      <c r="B177" s="58" t="s">
        <v>101</v>
      </c>
    </row>
    <row r="178" spans="1:7" x14ac:dyDescent="0.2">
      <c r="A178" s="94"/>
      <c r="B178" s="58" t="s">
        <v>101</v>
      </c>
    </row>
    <row r="179" spans="1:7" ht="13.5" thickBot="1" x14ac:dyDescent="0.25">
      <c r="A179" s="93"/>
      <c r="B179" s="92" t="s">
        <v>101</v>
      </c>
      <c r="C179" s="91"/>
      <c r="D179" s="91"/>
      <c r="E179" s="91"/>
      <c r="F179" s="91"/>
      <c r="G179" s="91"/>
    </row>
  </sheetData>
  <mergeCells count="133">
    <mergeCell ref="I113:I115"/>
    <mergeCell ref="A28:A32"/>
    <mergeCell ref="B28:B32"/>
    <mergeCell ref="B71:B73"/>
    <mergeCell ref="C71:C73"/>
    <mergeCell ref="D1:I1"/>
    <mergeCell ref="A2:I2"/>
    <mergeCell ref="A33:A37"/>
    <mergeCell ref="B33:B37"/>
    <mergeCell ref="C33:C37"/>
    <mergeCell ref="D33:D37"/>
    <mergeCell ref="D38:E38"/>
    <mergeCell ref="D39:E39"/>
    <mergeCell ref="A46:A47"/>
    <mergeCell ref="C46:C47"/>
    <mergeCell ref="D71:D73"/>
    <mergeCell ref="C17:C21"/>
    <mergeCell ref="D17:D21"/>
    <mergeCell ref="A3:A4"/>
    <mergeCell ref="C3:C4"/>
    <mergeCell ref="D3:D4"/>
    <mergeCell ref="C28:C32"/>
    <mergeCell ref="D28:D32"/>
    <mergeCell ref="C49:C51"/>
    <mergeCell ref="D49:D51"/>
    <mergeCell ref="B68:B70"/>
    <mergeCell ref="C68:C70"/>
    <mergeCell ref="D68:D70"/>
    <mergeCell ref="B77:B78"/>
    <mergeCell ref="A75:G75"/>
    <mergeCell ref="B46:B47"/>
    <mergeCell ref="D89:D91"/>
    <mergeCell ref="A53:G53"/>
    <mergeCell ref="A56:A57"/>
    <mergeCell ref="C56:C57"/>
    <mergeCell ref="A80:A81"/>
    <mergeCell ref="C80:C81"/>
    <mergeCell ref="D80:D81"/>
    <mergeCell ref="A83:A85"/>
    <mergeCell ref="C83:C85"/>
    <mergeCell ref="D83:D85"/>
    <mergeCell ref="A86:A88"/>
    <mergeCell ref="C89:C91"/>
    <mergeCell ref="E77:G77"/>
    <mergeCell ref="A71:A73"/>
    <mergeCell ref="A77:A78"/>
    <mergeCell ref="C77:C78"/>
    <mergeCell ref="D77:D78"/>
    <mergeCell ref="B3:B4"/>
    <mergeCell ref="D16:E16"/>
    <mergeCell ref="A23:G23"/>
    <mergeCell ref="A25:A26"/>
    <mergeCell ref="B25:B26"/>
    <mergeCell ref="C25:C26"/>
    <mergeCell ref="D25:D26"/>
    <mergeCell ref="E25:G25"/>
    <mergeCell ref="B6:B10"/>
    <mergeCell ref="E3:G3"/>
    <mergeCell ref="B11:B15"/>
    <mergeCell ref="B17:B21"/>
    <mergeCell ref="A6:A10"/>
    <mergeCell ref="C6:C10"/>
    <mergeCell ref="D6:D10"/>
    <mergeCell ref="A11:A15"/>
    <mergeCell ref="C11:C15"/>
    <mergeCell ref="D11:D15"/>
    <mergeCell ref="A17:A21"/>
    <mergeCell ref="A1:C1"/>
    <mergeCell ref="B49:B51"/>
    <mergeCell ref="B56:B57"/>
    <mergeCell ref="A68:A70"/>
    <mergeCell ref="D46:D47"/>
    <mergeCell ref="E46:G46"/>
    <mergeCell ref="A49:A51"/>
    <mergeCell ref="E56:G56"/>
    <mergeCell ref="A59:A61"/>
    <mergeCell ref="B59:B61"/>
    <mergeCell ref="C59:C61"/>
    <mergeCell ref="D59:D61"/>
    <mergeCell ref="C65:C67"/>
    <mergeCell ref="D65:D67"/>
    <mergeCell ref="B65:B67"/>
    <mergeCell ref="B62:B64"/>
    <mergeCell ref="B40:B44"/>
    <mergeCell ref="C40:C44"/>
    <mergeCell ref="D40:D44"/>
    <mergeCell ref="A40:A44"/>
    <mergeCell ref="A62:A64"/>
    <mergeCell ref="C62:C64"/>
    <mergeCell ref="D62:D64"/>
    <mergeCell ref="A65:A67"/>
    <mergeCell ref="A101:A102"/>
    <mergeCell ref="A92:A94"/>
    <mergeCell ref="C92:C94"/>
    <mergeCell ref="C101:C102"/>
    <mergeCell ref="D101:D102"/>
    <mergeCell ref="A89:A91"/>
    <mergeCell ref="D92:D94"/>
    <mergeCell ref="B89:B91"/>
    <mergeCell ref="B92:B94"/>
    <mergeCell ref="C97:C98"/>
    <mergeCell ref="D97:D98"/>
    <mergeCell ref="C86:C88"/>
    <mergeCell ref="D86:D88"/>
    <mergeCell ref="B80:B81"/>
    <mergeCell ref="B83:B85"/>
    <mergeCell ref="B86:B88"/>
    <mergeCell ref="C105:C106"/>
    <mergeCell ref="D105:D106"/>
    <mergeCell ref="C107:C108"/>
    <mergeCell ref="A103:A104"/>
    <mergeCell ref="C103:C104"/>
    <mergeCell ref="D103:D104"/>
    <mergeCell ref="D107:D108"/>
    <mergeCell ref="B146:B147"/>
    <mergeCell ref="A96:G96"/>
    <mergeCell ref="B99:B100"/>
    <mergeCell ref="B101:B102"/>
    <mergeCell ref="B103:B104"/>
    <mergeCell ref="B105:B106"/>
    <mergeCell ref="B107:B108"/>
    <mergeCell ref="A97:A98"/>
    <mergeCell ref="B97:B98"/>
    <mergeCell ref="B110:B111"/>
    <mergeCell ref="A110:A111"/>
    <mergeCell ref="C110:C111"/>
    <mergeCell ref="D110:D111"/>
    <mergeCell ref="A99:A100"/>
    <mergeCell ref="C99:C100"/>
    <mergeCell ref="D99:D100"/>
    <mergeCell ref="A107:A108"/>
    <mergeCell ref="E113:H115"/>
    <mergeCell ref="A105:A106"/>
  </mergeCells>
  <pageMargins left="0.19685039370078741" right="0.15748031496062992" top="0.51181102362204722" bottom="0.39370078740157483" header="0.15748031496062992" footer="0.15748031496062992"/>
  <pageSetup paperSize="9" scale="56" fitToHeight="0" orientation="portrait" r:id="rId1"/>
  <headerFooter alignWithMargins="0">
    <oddHeader>&amp;LMission de diagnostic Technique
Amiante, Plomb, HAP, Termites, ERP, DPE, EIE et EIG&amp;RAnnexe à l'acte d'engagement 
Bordereau des prix unitaires</oddHeader>
    <oddFooter>&amp;COPH D'AUBERVILLIERS&amp;R&amp;P/&amp;N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715f2d-0213-4719-bc26-fbd54316110e" xsi:nil="true"/>
    <lcf76f155ced4ddcb4097134ff3c332f xmlns="f03c9ef5-8a1d-4eb3-ad18-289736f8a27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57D9BA146EF841994BF360A4F71838" ma:contentTypeVersion="14" ma:contentTypeDescription="Crée un document." ma:contentTypeScope="" ma:versionID="486939e7757d32705b0a54ed7e65474a">
  <xsd:schema xmlns:xsd="http://www.w3.org/2001/XMLSchema" xmlns:xs="http://www.w3.org/2001/XMLSchema" xmlns:p="http://schemas.microsoft.com/office/2006/metadata/properties" xmlns:ns2="f03c9ef5-8a1d-4eb3-ad18-289736f8a279" xmlns:ns3="a2715f2d-0213-4719-bc26-fbd54316110e" targetNamespace="http://schemas.microsoft.com/office/2006/metadata/properties" ma:root="true" ma:fieldsID="151c402685d2a1022bf3c2c3de9274db" ns2:_="" ns3:_="">
    <xsd:import namespace="f03c9ef5-8a1d-4eb3-ad18-289736f8a279"/>
    <xsd:import namespace="a2715f2d-0213-4719-bc26-fbd543161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3c9ef5-8a1d-4eb3-ad18-289736f8a2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a2d17a18-ce2e-4d84-a5b0-813836f3d8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715f2d-0213-4719-bc26-fbd5431611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7025d90-fbba-45aa-aae4-dcff057c9837}" ma:internalName="TaxCatchAll" ma:showField="CatchAllData" ma:web="a2715f2d-0213-4719-bc26-fbd543161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C4505A-BC65-4EDE-8736-AC83687703B0}">
  <ds:schemaRefs>
    <ds:schemaRef ds:uri="http://schemas.microsoft.com/office/2006/metadata/properties"/>
    <ds:schemaRef ds:uri="http://schemas.microsoft.com/office/infopath/2007/PartnerControls"/>
    <ds:schemaRef ds:uri="a2715f2d-0213-4719-bc26-fbd54316110e"/>
    <ds:schemaRef ds:uri="f03c9ef5-8a1d-4eb3-ad18-289736f8a279"/>
  </ds:schemaRefs>
</ds:datastoreItem>
</file>

<file path=customXml/itemProps2.xml><?xml version="1.0" encoding="utf-8"?>
<ds:datastoreItem xmlns:ds="http://schemas.openxmlformats.org/officeDocument/2006/customXml" ds:itemID="{0B6C382B-3069-42C8-939B-24C246E3E9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AD74A1-91FD-4BE6-B9B2-214997B1CC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3c9ef5-8a1d-4eb3-ad18-289736f8a279"/>
    <ds:schemaRef ds:uri="a2715f2d-0213-4719-bc26-fbd543161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BPU LOT2</vt:lpstr>
      <vt:lpstr>DQE LOT2</vt:lpstr>
      <vt:lpstr>'BPU LOT2'!Zone_d_impression</vt:lpstr>
      <vt:lpstr>'DQE LOT2'!Zone_d_impression</vt:lpstr>
    </vt:vector>
  </TitlesOfParts>
  <Company>OPAC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OPAC</dc:creator>
  <cp:lastModifiedBy>Suren SHIRVANYAN</cp:lastModifiedBy>
  <cp:lastPrinted>2025-07-30T13:34:38Z</cp:lastPrinted>
  <dcterms:created xsi:type="dcterms:W3CDTF">2007-05-09T10:10:11Z</dcterms:created>
  <dcterms:modified xsi:type="dcterms:W3CDTF">2026-01-02T16:23:50Z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0x0101007E57D9BA146EF841994BF360A4F71838</vt:lpwstr>
  </property>
  <property fmtid="{D5CDD505-2E9C-101B-9397-08002B2CF9AE}" pid="3" name="MediaServiceImageTags">
    <vt:lpwstr/>
  </property>
</Properties>
</file>